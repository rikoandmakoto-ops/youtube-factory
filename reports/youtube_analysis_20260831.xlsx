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改善アクション" sheetId="2" state="visible" r:id="rId2"/>
    <sheet xmlns:r="http://schemas.openxmlformats.org/officeDocument/2006/relationships" name="チャンネル別詳細" sheetId="3" state="visible" r:id="rId3"/>
    <sheet xmlns:r="http://schemas.openxmlformats.org/officeDocument/2006/relationships" name="動画別パフォーマンス" sheetId="4" state="visible" r:id="rId4"/>
    <sheet xmlns:r="http://schemas.openxmlformats.org/officeDocument/2006/relationships" name="トレンド" sheetId="5" state="visible" r:id="rId5"/>
    <sheet xmlns:r="http://schemas.openxmlformats.org/officeDocument/2006/relationships" name="検証待ち仮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  <xf numFmtId="0" fontId="0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0" fontId="0" fillId="3" borderId="1" pivotButton="0" quotePrefix="0" xfId="0"/>
    <xf numFmtId="3" fontId="6" fillId="3" borderId="1" pivotButton="0" quotePrefix="0" xfId="0"/>
    <xf numFmtId="2" fontId="6" fillId="3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0" pivotButton="0" quotePrefix="0" xfId="0"/>
    <xf numFmtId="0" fontId="4" fillId="3" borderId="0" pivotButton="0" quotePrefix="0" xfId="0"/>
    <xf numFmtId="0" fontId="4" fillId="3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4" fontId="4" fillId="3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10" customWidth="1" min="4" max="4"/>
    <col width="10" customWidth="1" min="5" max="5"/>
    <col width="9" customWidth="1" min="6" max="6"/>
    <col width="9" customWidth="1" min="7" max="7"/>
    <col width="14" customWidth="1" min="8" max="8"/>
    <col width="26" customWidth="1" min="9" max="9"/>
  </cols>
  <sheetData>
    <row r="1">
      <c r="A1" s="1" t="inlineStr">
        <is>
          <t>YouTube Factory 日次分析レポート</t>
        </is>
      </c>
    </row>
    <row r="2">
      <c r="A2" s="2" t="inlineStr">
        <is>
          <t>生成日: 2026-08-31 / 対象コホート: 2026-08-18〜08-30 / 全8ch中 moviepy系6ch＋fake-paperを分析</t>
        </is>
      </c>
    </row>
    <row r="3">
      <c r="A3" s="2" t="inlineStr">
        <is>
          <t>至上目標: チャンネル登録者数の増加</t>
        </is>
      </c>
    </row>
    <row r="5">
      <c r="A5" s="3" t="inlineStr">
        <is>
          <t>■ 本日の結論</t>
        </is>
      </c>
    </row>
    <row r="6">
      <c r="A6" s="4" t="inlineStr">
        <is>
          <t>・維持率の崩壊は「テーマ選定」ではなく「パイプラインの不具合」が原因だった。台本616本と実績を突合し4件の実装バグを特定・修正した。</t>
        </is>
      </c>
    </row>
    <row r="7">
      <c r="A7" s="4" t="inlineStr">
        <is>
          <t>・最大の発見: 08-30に新設した尺ガード enforce_band() が本番経路に接続されておらず一度も発動していなかった（ログ全期間でトリム0件／範囲外警告43件）。</t>
        </is>
      </c>
    </row>
    <row r="8">
      <c r="A8" s="4" t="inlineStr">
        <is>
          <t>・台本字数は維持率に直結する（n=214, 維持率 = 92.6 − 0.1720×字数, r=-0.414）。実台本は平均304字＝推定維持率40%で運用されていた。</t>
        </is>
      </c>
    </row>
    <row r="9">
      <c r="A9" s="4" t="inlineStr">
        <is>
          <t>・修正後の回帰: 平均304字→216字、帯超過97%→25%、推定維持率 40.4%→55.5%（+15.1pt）。</t>
        </is>
      </c>
    </row>
    <row r="10">
      <c r="A10" s="4" t="inlineStr">
        <is>
          <t>・副次的に、日本語として壊れた台本が本番投稿されていた（3秒フックに「寝つきが闇が深いわる」等）。破損台本は維持率32.2%、正常は53.7%。</t>
        </is>
      </c>
    </row>
    <row r="12">
      <c r="A12" s="3" t="inlineStr">
        <is>
          <t>■ チャンネル別サマリー（08-18〜08-30 公開分）</t>
        </is>
      </c>
    </row>
    <row r="13">
      <c r="A13" s="5" t="inlineStr">
        <is>
          <t>チャンネル</t>
        </is>
      </c>
      <c r="B13" s="5" t="inlineStr">
        <is>
          <t>本数</t>
        </is>
      </c>
      <c r="C13" s="5" t="inlineStr">
        <is>
          <t>平均維持率%</t>
        </is>
      </c>
      <c r="D13" s="5" t="inlineStr">
        <is>
          <t>平均再生</t>
        </is>
      </c>
      <c r="E13" s="5" t="inlineStr">
        <is>
          <t>総再生</t>
        </is>
      </c>
      <c r="F13" s="5" t="inlineStr">
        <is>
          <t>登録者</t>
        </is>
      </c>
      <c r="G13" s="5" t="inlineStr">
        <is>
          <t>高評価</t>
        </is>
      </c>
      <c r="H13" s="5" t="inlineStr">
        <is>
          <t>登録/1000再生</t>
        </is>
      </c>
      <c r="I13" s="5" t="inlineStr">
        <is>
          <t>評価</t>
        </is>
      </c>
    </row>
    <row r="14">
      <c r="A14" s="6" t="inlineStr">
        <is>
          <t>2ch-matome</t>
        </is>
      </c>
      <c r="B14" s="6" t="n">
        <v>16</v>
      </c>
      <c r="C14" s="7" t="n">
        <v>43.1</v>
      </c>
      <c r="D14" s="8" t="n">
        <v>949</v>
      </c>
      <c r="E14" s="8" t="n">
        <v>15183</v>
      </c>
      <c r="F14" s="6" t="n">
        <v>1</v>
      </c>
      <c r="G14" s="6" t="n">
        <v>41</v>
      </c>
      <c r="H14" s="9">
        <f>IF(E14=0,0,F14/E14*1000)</f>
        <v/>
      </c>
      <c r="I14" s="10" t="n"/>
    </row>
    <row r="15">
      <c r="A15" s="6" t="inlineStr">
        <is>
          <t>daily-science</t>
        </is>
      </c>
      <c r="B15" s="6" t="n">
        <v>13</v>
      </c>
      <c r="C15" s="7" t="n">
        <v>37.6</v>
      </c>
      <c r="D15" s="8" t="n">
        <v>923</v>
      </c>
      <c r="E15" s="8" t="n">
        <v>12001</v>
      </c>
      <c r="F15" s="6" t="n">
        <v>7</v>
      </c>
      <c r="G15" s="6" t="n">
        <v>73</v>
      </c>
      <c r="H15" s="9">
        <f>IF(E15=0,0,F15/E15*1000)</f>
        <v/>
      </c>
      <c r="I15" s="10" t="n"/>
    </row>
    <row r="16">
      <c r="A16" s="6" t="inlineStr">
        <is>
          <t>fake-paper</t>
        </is>
      </c>
      <c r="B16" s="6" t="n">
        <v>1</v>
      </c>
      <c r="C16" s="7" t="n">
        <v>25.5</v>
      </c>
      <c r="D16" s="8" t="n">
        <v>1099</v>
      </c>
      <c r="E16" s="8" t="n">
        <v>1099</v>
      </c>
      <c r="F16" s="6" t="n">
        <v>0</v>
      </c>
      <c r="G16" s="6" t="n">
        <v>1</v>
      </c>
      <c r="H16" s="9">
        <f>IF(E16=0,0,F16/E16*1000)</f>
        <v/>
      </c>
      <c r="I16" s="10" t="n"/>
    </row>
    <row r="17">
      <c r="A17" s="6" t="inlineStr">
        <is>
          <t>pokemon-lab</t>
        </is>
      </c>
      <c r="B17" s="6" t="n">
        <v>12</v>
      </c>
      <c r="C17" s="7" t="n">
        <v>33.2</v>
      </c>
      <c r="D17" s="8" t="n">
        <v>962</v>
      </c>
      <c r="E17" s="8" t="n">
        <v>11546</v>
      </c>
      <c r="F17" s="6" t="n">
        <v>4</v>
      </c>
      <c r="G17" s="6" t="n">
        <v>24</v>
      </c>
      <c r="H17" s="9">
        <f>IF(E17=0,0,F17/E17*1000)</f>
        <v/>
      </c>
      <c r="I17" s="10" t="n"/>
    </row>
    <row r="18">
      <c r="A18" s="6" t="inlineStr">
        <is>
          <t>scp-lab</t>
        </is>
      </c>
      <c r="B18" s="6" t="n">
        <v>18</v>
      </c>
      <c r="C18" s="7" t="n">
        <v>33.5</v>
      </c>
      <c r="D18" s="8" t="n">
        <v>676</v>
      </c>
      <c r="E18" s="8" t="n">
        <v>12166</v>
      </c>
      <c r="F18" s="6" t="n">
        <v>9</v>
      </c>
      <c r="G18" s="6" t="n">
        <v>51</v>
      </c>
      <c r="H18" s="9">
        <f>IF(E18=0,0,F18/E18*1000)</f>
        <v/>
      </c>
      <c r="I18" s="10" t="n"/>
    </row>
    <row r="19">
      <c r="A19" s="6" t="inlineStr">
        <is>
          <t>yokai-watch</t>
        </is>
      </c>
      <c r="B19" s="6" t="n">
        <v>12</v>
      </c>
      <c r="C19" s="7" t="n">
        <v>37.5</v>
      </c>
      <c r="D19" s="8" t="n">
        <v>669</v>
      </c>
      <c r="E19" s="8" t="n">
        <v>8027</v>
      </c>
      <c r="F19" s="6" t="n">
        <v>3</v>
      </c>
      <c r="G19" s="6" t="n">
        <v>33</v>
      </c>
      <c r="H19" s="9">
        <f>IF(E19=0,0,F19/E19*1000)</f>
        <v/>
      </c>
      <c r="I19" s="10" t="n"/>
    </row>
    <row r="20">
      <c r="A20" s="11" t="inlineStr">
        <is>
          <t>合計/平均</t>
        </is>
      </c>
      <c r="B20" s="11">
        <f>SUM(B14:B19)</f>
        <v/>
      </c>
      <c r="C20" s="12">
        <f>AVERAGE(C14:C19)</f>
        <v/>
      </c>
      <c r="D20" s="13" t="n"/>
      <c r="E20" s="14">
        <f>SUM(E14:E19)</f>
        <v/>
      </c>
      <c r="F20" s="11">
        <f>SUM(F14:F19)</f>
        <v/>
      </c>
      <c r="G20" s="11">
        <f>SUM(G14:G19)</f>
        <v/>
      </c>
      <c r="H20" s="15">
        <f>IF(E20=0,0,F20/E20*1000)</f>
        <v/>
      </c>
      <c r="I20" s="13" t="n"/>
    </row>
    <row r="22">
      <c r="A22" s="2" t="inlineStr">
        <is>
          <t>注: 「登録/1000再生」は 登録者÷総再生×1000 の計算式。維持率・再生は各動画の最新スナップショットの平均。</t>
        </is>
      </c>
    </row>
    <row r="23">
      <c r="A23" s="2" t="inlineStr">
        <is>
          <t>注: clip-lab（凍結中）と akashic-librarian（OAuth未連携）は運用対象外のため集計に含まない。fake-paper は n=1 のため参考値。</t>
        </is>
      </c>
    </row>
  </sheetData>
  <mergeCells count="5">
    <mergeCell ref="A9:H9"/>
    <mergeCell ref="A7:H7"/>
    <mergeCell ref="A10:H10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6" customWidth="1" min="3" max="3"/>
    <col width="44" customWidth="1" min="4" max="4"/>
    <col width="46" customWidth="1" min="5" max="5"/>
    <col width="12" customWidth="1" min="6" max="6"/>
  </cols>
  <sheetData>
    <row r="1">
      <c r="A1" s="1" t="inlineStr">
        <is>
          <t>本日実施した改善アクション</t>
        </is>
      </c>
    </row>
    <row r="2">
      <c r="A2" s="2" t="inlineStr">
        <is>
          <t>全て実データに基づき、提案ではなく実装・反映まで完了している。</t>
        </is>
      </c>
    </row>
    <row r="4">
      <c r="A4" s="5" t="inlineStr">
        <is>
          <t>#</t>
        </is>
      </c>
      <c r="B4" s="5" t="inlineStr">
        <is>
          <t>対象</t>
        </is>
      </c>
      <c r="C4" s="5" t="inlineStr">
        <is>
          <t>不具合／判明した事実</t>
        </is>
      </c>
      <c r="D4" s="5" t="inlineStr">
        <is>
          <t>根拠データ</t>
        </is>
      </c>
      <c r="E4" s="5" t="inlineStr">
        <is>
          <t>実施した対応</t>
        </is>
      </c>
      <c r="F4" s="5" t="inlineStr">
        <is>
          <t>状態</t>
        </is>
      </c>
    </row>
    <row r="5" ht="76" customHeight="1">
      <c r="A5" s="16" t="inlineStr">
        <is>
          <t>1</t>
        </is>
      </c>
      <c r="B5" s="16" t="inlineStr">
        <is>
          <t>backend/pipeline/video_generator.py</t>
        </is>
      </c>
      <c r="C5" s="16" t="inlineStr">
        <is>
          <t>08-30に新設した尺ガード enforce_band() が本番のレンダリング経路に接続されておらず、一度も発動していなかった。警告を出すだけの guard(strict=False) のみが呼ばれていた。</t>
        </is>
      </c>
      <c r="D5" s="16" t="inlineStr">
        <is>
          <t>backend.log 全期間で トリム実行「✂️」0件 に対し 範囲外警告43件。08-30の実台本は268〜327字で上限210〜225字を超過したまま描画。</t>
        </is>
      </c>
      <c r="E5" s="16" t="inlineStr">
        <is>
          <t>guard() の前に enforce_band() を呼び、実際にトリムするよう変更。1行目フックと最終行CTAは保護。</t>
        </is>
      </c>
      <c r="F5" s="17" t="inlineStr">
        <is>
          <t>修正済</t>
        </is>
      </c>
    </row>
    <row r="6" ht="76" customHeight="1">
      <c r="A6" s="16" t="inlineStr">
        <is>
          <t>2</t>
        </is>
      </c>
      <c r="B6" s="16" t="inlineStr">
        <is>
          <t>backend/pipeline/power_word_amplifier.py</t>
        </is>
      </c>
      <c r="C6" s="16" t="inlineStr">
        <is>
          <t>パワーワード置換が形態素境界を無視した部分文字列一致だったため、語の内部にヒットして日本語が破壊されていた。「悪くなる」の中の「変」が誤ヒットし「寝つきが闇が深いわる」が3秒フックとして公開されていた。「彼女」→「彼美女」も量産。</t>
        </is>
      </c>
      <c r="D6" s="16" t="inlineStr">
        <is>
          <t>台本616本×実績 n=214: 破損あり 維持率32.2%・平均再生694／破損なし 53.7%・1000。破損は維持率1.67倍・再生1.44倍の差。</t>
        </is>
      </c>
      <c r="E6" s="16" t="inlineStr">
        <is>
          <t>全パターンに否定先読み／後読みを追加。連体形専用の置換には位置検証を導入し、置換後に文法破綻が生じた場合は差し戻す二重チェックを実装。</t>
        </is>
      </c>
      <c r="F6" s="17" t="inlineStr">
        <is>
          <t>修正済</t>
        </is>
      </c>
    </row>
    <row r="7" ht="76" customHeight="1">
      <c r="A7" s="16" t="inlineStr">
        <is>
          <t>3</t>
        </is>
      </c>
      <c r="B7" s="16" t="inlineStr">
        <is>
          <t>backend/pipeline/replay_loop_seeder.py</t>
        </is>
      </c>
      <c r="C7" s="16" t="inlineStr">
        <is>
          <t>最終行のループトリガーが漢字列を素朴に抽出していたため、送り仮名の手前で語が切れ非単語が混入。「…待って、寝落に戻って」「…待って、見落に戻って」「…待って、何秒数に戻って」が登録CTA直前に出力されていた。</t>
        </is>
      </c>
      <c r="D7" s="16" t="inlineStr">
        <is>
          <t>08-24〜30の台本76本を目視確認。ほぼ全チャンネルの最終行で発生。</t>
        </is>
      </c>
      <c r="E7" s="16" t="inlineStr">
        <is>
          <t>漢字列の直後が送り仮名なら用言の語幹として除外。カタカナ語・型番（SCP-173等）を優先。機能語のストップワードも追加。</t>
        </is>
      </c>
      <c r="F7" s="17" t="inlineStr">
        <is>
          <t>修正済</t>
        </is>
      </c>
    </row>
    <row r="8" ht="76" customHeight="1">
      <c r="A8" s="16" t="inlineStr">
        <is>
          <t>4</t>
        </is>
      </c>
      <c r="B8" s="16" t="inlineStr">
        <is>
          <t>backend/pipeline/cta_rotator.py</t>
        </is>
      </c>
      <c r="C8" s="16" t="inlineStr">
        <is>
          <t>(a)シリーズ名が既に「〜シリーズ」で終わる場合に「元ネタが怖い最恐の妖怪シリーズシリーズ、」と重複。(b)CTAを6種均等ローテーションしていたため高評価への言及が約1/6に留まり、チャンネルJSONの必須ルールを満たしていなかった。</t>
        </is>
      </c>
      <c r="D8" s="16" t="inlineStr">
        <is>
          <t>台本76本の高評価CTA遵守率: company-facts 0%／daily-science 22%／2ch-matome 33%／yokai-watch 38%／scp-lab 50%／pokemon-lab 56%。高評価率上位半分の登録/1000再生 0.58 vs 下位 0.22（2.64倍）。</t>
        </is>
      </c>
      <c r="E8" s="16" t="inlineStr">
        <is>
          <t>シリーズ名の末尾を判定して重複を解消。ローテーションは維持しつつ、高評価の一言を常に前置きする方式へ変更。回帰24/24合格。</t>
        </is>
      </c>
      <c r="F8" s="17" t="inlineStr">
        <is>
          <t>修正済</t>
        </is>
      </c>
    </row>
    <row r="9" ht="76" customHeight="1">
      <c r="A9" s="16" t="inlineStr">
        <is>
          <t>5</t>
        </is>
      </c>
      <c r="B9" s="16" t="inlineStr">
        <is>
          <t>backend/pipeline/completion_rate_optimizer.py</t>
        </is>
      </c>
      <c r="C9" s="16" t="inlineStr">
        <is>
          <t>マイクロリビール注入が25/50/75%の3箇所に対して行われ、かつ重複チェックが無かったため同一フレーズが1本に2回入っていた。1回15〜20字×3で+45〜60字となり尺超過の主要因。</t>
        </is>
      </c>
      <c r="D9" s="16" t="inlineStr">
        <is>
          <t>注入句あり 維持率36.0%／なし 53.8%（n=214）。08-30の台本で「…でも、この話にはまだ続きがある」が2行に重複。</t>
        </is>
      </c>
      <c r="E9" s="16" t="inlineStr">
        <is>
          <t>離脱が急増する20〜25%地点の1箇所のみに削減。同種の文句が既にある行には重ねない。字数上限に達している台本には注入しない。</t>
        </is>
      </c>
      <c r="F9" s="17" t="inlineStr">
        <is>
          <t>修正済</t>
        </is>
      </c>
    </row>
    <row r="10" ht="76" customHeight="1">
      <c r="A10" s="16" t="inlineStr">
        <is>
          <t>6</t>
        </is>
      </c>
      <c r="B10" s="16" t="inlineStr">
        <is>
          <t>backend/pipeline/shorts_length_guard.py</t>
        </is>
      </c>
      <c r="C10" s="16" t="inlineStr">
        <is>
          <t>注入句除去と末尾文除去だけでは削り切れず、読点だけで繋がった長い一文の行で処理が停止していた。</t>
        </is>
      </c>
      <c r="D10" s="16" t="inlineStr">
        <is>
          <t>実台本76本への回帰で、2段のみだと62本中33本が上限超過のまま残存。</t>
        </is>
      </c>
      <c r="E10" s="16" t="inlineStr">
        <is>
          <t>読点による末尾節除去をフォールバックとして追加。回帰で帯超過 97%→25%、平均304字→216字。</t>
        </is>
      </c>
      <c r="F10" s="17" t="inlineStr">
        <is>
          <t>修正済</t>
        </is>
      </c>
    </row>
    <row r="11" ht="76" customHeight="1">
      <c r="A11" s="16" t="inlineStr">
        <is>
          <t>7</t>
        </is>
      </c>
      <c r="B11" s="16" t="inlineStr">
        <is>
          <t>data/channels*/{6ch}.json</t>
        </is>
      </c>
      <c r="C11" s="16" t="inlineStr">
        <is>
          <t>「#NN：」連番プレフィックスとテンプレ構文が維持率を大きく下げていた。導入根拠だった「連番はビンジ視聴と登録率を上げる」は本チャンネル群で成立しなかった。</t>
        </is>
      </c>
      <c r="D11" s="16" t="inlineStr">
        <is>
          <t>08-19以降 n=66: 連番テンプレ型 維持率29.7%・再生740・登録/1k 0.39／自然文型 41.2%・863・0.41。登録では差が無く、維持率と再生でのみ劣後。</t>
        </is>
      </c>
      <c r="E11" s="16" t="inlineStr">
        <is>
          <t>short_series_name を空にして連番付与を停止（旧値は series_name_disabled_20260831 に退避、復帰可能）。title_style を自然文型に更新。</t>
        </is>
      </c>
      <c r="F11" s="17" t="inlineStr">
        <is>
          <t>反映済</t>
        </is>
      </c>
    </row>
    <row r="12" ht="76" customHeight="1">
      <c r="A12" s="16" t="inlineStr">
        <is>
          <t>8</t>
        </is>
      </c>
      <c r="B12" s="16" t="inlineStr">
        <is>
          <t>backend/pipeline/auto_scenario/generator.py</t>
        </is>
      </c>
      <c r="C12" s="16" t="inlineStr">
        <is>
          <t>タイトル長の指示が「ハッシュタグを足しても切れない上限」＝約75字であり、成績の良い長さではなかった。絵文字とテンプレ構文の禁止指示も無かった。</t>
        </is>
      </c>
      <c r="D12" s="16" t="inlineStr">
        <is>
          <t>タイトル長別 維持率: 30字未満 50.4%／30-40字 31.9%／40-50字 36.2%／50字超 30.1%。絵文字あり 32.7%・登録/1k 0.33／なし 38.7%・0.49。</t>
        </is>
      </c>
      <c r="E12" s="16" t="inlineStr">
        <is>
          <t>実効上限30字を明示し、絵文字と連番テンプレを明示的に禁止。いずれも実測値を根拠として併記。</t>
        </is>
      </c>
      <c r="F12" s="17" t="inlineStr">
        <is>
          <t>修正済</t>
        </is>
      </c>
    </row>
    <row r="13" ht="76" customHeight="1">
      <c r="A13" s="16" t="inlineStr">
        <is>
          <t>9</t>
        </is>
      </c>
      <c r="B13" s="16" t="inlineStr">
        <is>
          <t>pokemon-lab / yokai-watch / scp-lab</t>
        </is>
      </c>
      <c r="C13" s="16" t="inlineStr">
        <is>
          <t>08-23に設定した3件のタイトル仮説を再検証期日（本日）に検証した結果、いずれも当時の主張と逆または差が消失していた。</t>
        </is>
      </c>
      <c r="D13" s="16" t="inlineStr">
        <is>
          <t>pokemon-lab「秘密/隠」型: 主張3.17倍→実測0.47倍（1本あたり登録0.200 vs 0.429）。scp-lab「怖/恐」: 主張1.51倍→実測0.36倍。yokai-watch 作品ネタ: 主張2.45倍→実測1.00倍（指標により方向が割れる）。</t>
        </is>
      </c>
      <c r="E13" s="16" t="inlineStr">
        <is>
          <t>3件とも title_style から該当指示を撤回。pokemon-lab の対決型抑制も解除（維持率43.6% vs 28.0%、再生1240 vs 823のため）。yokai-watchは半々で回して09-07に再評価。</t>
        </is>
      </c>
      <c r="F13" s="17" t="inlineStr">
        <is>
          <t>反映済</t>
        </is>
      </c>
    </row>
    <row r="15">
      <c r="A15" s="3" t="inlineStr">
        <is>
          <t>■ 未完了（ユーザー操作が必要）</t>
        </is>
      </c>
    </row>
    <row r="16">
      <c r="A16" s="18" t="inlineStr">
        <is>
          <t>起動中のバックエンドは修正前のコードをメモリに保持しているため、再起動するまで本日17:00〜19:00の自動投稿に修正が反映されない。</t>
        </is>
      </c>
    </row>
    <row r="17">
      <c r="A17" s="19" t="inlineStr">
        <is>
          <t>リポジトリ直下の restart_and_trigger_20260831.command を実行すると、再起動と6chへの制作トリガー発行をまとめて行える。</t>
        </is>
      </c>
    </row>
    <row r="18">
      <c r="A18" s="2" t="inlineStr">
        <is>
          <t>※ 本セッションの実行環境からは localhost:8000 に到達できないため、指揮者側からのトリガー発行は実施できなかった。</t>
        </is>
      </c>
    </row>
  </sheetData>
  <mergeCells count="2">
    <mergeCell ref="A16:F16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チャンネル別 日次推移</t>
        </is>
      </c>
    </row>
    <row r="2">
      <c r="A2" s="2" t="inlineStr">
        <is>
          <t>channel_metrics より。YouTube Analytics API の反映遅延のため直近2〜3日は未確定。</t>
        </is>
      </c>
    </row>
    <row r="4">
      <c r="A4" s="5" t="inlineStr">
        <is>
          <t>日付</t>
        </is>
      </c>
      <c r="B4" s="5" t="inlineStr">
        <is>
          <t>チャンネル</t>
        </is>
      </c>
      <c r="C4" s="5" t="inlineStr">
        <is>
          <t>再生数</t>
        </is>
      </c>
      <c r="D4" s="5" t="inlineStr">
        <is>
          <t>総視聴時間(分)</t>
        </is>
      </c>
      <c r="E4" s="5" t="inlineStr">
        <is>
          <t>登録増</t>
        </is>
      </c>
      <c r="F4" s="5" t="inlineStr">
        <is>
          <t>登録減</t>
        </is>
      </c>
      <c r="G4" s="5" t="inlineStr">
        <is>
          <t>純増</t>
        </is>
      </c>
    </row>
    <row r="5">
      <c r="A5" s="6" t="inlineStr">
        <is>
          <t>2026-08-27</t>
        </is>
      </c>
      <c r="B5" s="6" t="inlineStr">
        <is>
          <t>2ch-matome</t>
        </is>
      </c>
      <c r="C5" s="8" t="n">
        <v>965</v>
      </c>
      <c r="D5" s="8" t="n">
        <v>249</v>
      </c>
      <c r="E5" s="6" t="n">
        <v>0</v>
      </c>
      <c r="F5" s="6" t="n">
        <v>0</v>
      </c>
      <c r="G5" s="6">
        <f>E5-F5</f>
        <v/>
      </c>
    </row>
    <row r="6">
      <c r="A6" s="6" t="inlineStr">
        <is>
          <t>2026-08-27</t>
        </is>
      </c>
      <c r="B6" s="6" t="inlineStr">
        <is>
          <t>daily-science</t>
        </is>
      </c>
      <c r="C6" s="8" t="n">
        <v>2670</v>
      </c>
      <c r="D6" s="8" t="n">
        <v>330</v>
      </c>
      <c r="E6" s="6" t="n">
        <v>2</v>
      </c>
      <c r="F6" s="6" t="n">
        <v>0</v>
      </c>
      <c r="G6" s="6">
        <f>E6-F6</f>
        <v/>
      </c>
    </row>
    <row r="7">
      <c r="A7" s="6" t="inlineStr">
        <is>
          <t>2026-08-27</t>
        </is>
      </c>
      <c r="B7" s="6" t="inlineStr">
        <is>
          <t>pokemon-lab</t>
        </is>
      </c>
      <c r="C7" s="8" t="n">
        <v>1033</v>
      </c>
      <c r="D7" s="8" t="n">
        <v>49</v>
      </c>
      <c r="E7" s="6" t="n">
        <v>0</v>
      </c>
      <c r="F7" s="6" t="n">
        <v>0</v>
      </c>
      <c r="G7" s="6">
        <f>E7-F7</f>
        <v/>
      </c>
    </row>
    <row r="8">
      <c r="A8" s="6" t="inlineStr">
        <is>
          <t>2026-08-27</t>
        </is>
      </c>
      <c r="B8" s="6" t="inlineStr">
        <is>
          <t>scp-lab</t>
        </is>
      </c>
      <c r="C8" s="8" t="n">
        <v>2972</v>
      </c>
      <c r="D8" s="8" t="n">
        <v>172</v>
      </c>
      <c r="E8" s="6" t="n">
        <v>2</v>
      </c>
      <c r="F8" s="6" t="n">
        <v>0</v>
      </c>
      <c r="G8" s="6">
        <f>E8-F8</f>
        <v/>
      </c>
    </row>
    <row r="9">
      <c r="A9" s="6" t="inlineStr">
        <is>
          <t>2026-08-27</t>
        </is>
      </c>
      <c r="B9" s="6" t="inlineStr">
        <is>
          <t>yokai-watch</t>
        </is>
      </c>
      <c r="C9" s="8" t="n">
        <v>958</v>
      </c>
      <c r="D9" s="8" t="n">
        <v>85</v>
      </c>
      <c r="E9" s="6" t="n">
        <v>1</v>
      </c>
      <c r="F9" s="6" t="n">
        <v>0</v>
      </c>
      <c r="G9" s="6">
        <f>E9-F9</f>
        <v/>
      </c>
    </row>
    <row r="10">
      <c r="A10" s="6" t="inlineStr">
        <is>
          <t>2026-08-26</t>
        </is>
      </c>
      <c r="B10" s="6" t="inlineStr">
        <is>
          <t>2ch-matome</t>
        </is>
      </c>
      <c r="C10" s="8" t="n">
        <v>2014</v>
      </c>
      <c r="D10" s="8" t="n">
        <v>136</v>
      </c>
      <c r="E10" s="6" t="n">
        <v>0</v>
      </c>
      <c r="F10" s="6" t="n">
        <v>0</v>
      </c>
      <c r="G10" s="6">
        <f>E10-F10</f>
        <v/>
      </c>
    </row>
    <row r="11">
      <c r="A11" s="6" t="inlineStr">
        <is>
          <t>2026-08-26</t>
        </is>
      </c>
      <c r="B11" s="6" t="inlineStr">
        <is>
          <t>daily-science</t>
        </is>
      </c>
      <c r="C11" s="8" t="n">
        <v>977</v>
      </c>
      <c r="D11" s="8" t="n">
        <v>90</v>
      </c>
      <c r="E11" s="6" t="n">
        <v>1</v>
      </c>
      <c r="F11" s="6" t="n">
        <v>0</v>
      </c>
      <c r="G11" s="6">
        <f>E11-F11</f>
        <v/>
      </c>
    </row>
    <row r="12">
      <c r="A12" s="6" t="inlineStr">
        <is>
          <t>2026-08-26</t>
        </is>
      </c>
      <c r="B12" s="6" t="inlineStr">
        <is>
          <t>pokemon-lab</t>
        </is>
      </c>
      <c r="C12" s="8" t="n">
        <v>1878</v>
      </c>
      <c r="D12" s="8" t="n">
        <v>159</v>
      </c>
      <c r="E12" s="6" t="n">
        <v>1</v>
      </c>
      <c r="F12" s="6" t="n">
        <v>0</v>
      </c>
      <c r="G12" s="6">
        <f>E12-F12</f>
        <v/>
      </c>
    </row>
    <row r="13">
      <c r="A13" s="6" t="inlineStr">
        <is>
          <t>2026-08-26</t>
        </is>
      </c>
      <c r="B13" s="6" t="inlineStr">
        <is>
          <t>scp-lab</t>
        </is>
      </c>
      <c r="C13" s="8" t="n">
        <v>1945</v>
      </c>
      <c r="D13" s="8" t="n">
        <v>150</v>
      </c>
      <c r="E13" s="6" t="n">
        <v>3</v>
      </c>
      <c r="F13" s="6" t="n">
        <v>1</v>
      </c>
      <c r="G13" s="6">
        <f>E13-F13</f>
        <v/>
      </c>
    </row>
    <row r="14">
      <c r="A14" s="6" t="inlineStr">
        <is>
          <t>2026-08-26</t>
        </is>
      </c>
      <c r="B14" s="6" t="inlineStr">
        <is>
          <t>yokai-watch</t>
        </is>
      </c>
      <c r="C14" s="8" t="n">
        <v>585</v>
      </c>
      <c r="D14" s="8" t="n">
        <v>32</v>
      </c>
      <c r="E14" s="6" t="n">
        <v>0</v>
      </c>
      <c r="F14" s="6" t="n">
        <v>0</v>
      </c>
      <c r="G14" s="6">
        <f>E14-F14</f>
        <v/>
      </c>
    </row>
    <row r="15">
      <c r="A15" s="6" t="inlineStr">
        <is>
          <t>2026-08-25</t>
        </is>
      </c>
      <c r="B15" s="6" t="inlineStr">
        <is>
          <t>2ch-matome</t>
        </is>
      </c>
      <c r="C15" s="8" t="n">
        <v>872</v>
      </c>
      <c r="D15" s="8" t="n">
        <v>47</v>
      </c>
      <c r="E15" s="6" t="n">
        <v>1</v>
      </c>
      <c r="F15" s="6" t="n">
        <v>1</v>
      </c>
      <c r="G15" s="6">
        <f>E15-F15</f>
        <v/>
      </c>
    </row>
    <row r="16">
      <c r="A16" s="6" t="inlineStr">
        <is>
          <t>2026-08-25</t>
        </is>
      </c>
      <c r="B16" s="6" t="inlineStr">
        <is>
          <t>daily-science</t>
        </is>
      </c>
      <c r="C16" s="8" t="n">
        <v>1052</v>
      </c>
      <c r="D16" s="8" t="n">
        <v>134</v>
      </c>
      <c r="E16" s="6" t="n">
        <v>1</v>
      </c>
      <c r="F16" s="6" t="n">
        <v>1</v>
      </c>
      <c r="G16" s="6">
        <f>E16-F16</f>
        <v/>
      </c>
    </row>
    <row r="17">
      <c r="A17" s="6" t="inlineStr">
        <is>
          <t>2026-08-25</t>
        </is>
      </c>
      <c r="B17" s="6" t="inlineStr">
        <is>
          <t>fake-paper</t>
        </is>
      </c>
      <c r="C17" s="8" t="n">
        <v>0</v>
      </c>
      <c r="D17" s="8" t="n">
        <v>0</v>
      </c>
      <c r="E17" s="6" t="n">
        <v>0</v>
      </c>
      <c r="F17" s="6" t="n">
        <v>0</v>
      </c>
      <c r="G17" s="6">
        <f>E17-F17</f>
        <v/>
      </c>
    </row>
    <row r="18">
      <c r="A18" s="6" t="inlineStr">
        <is>
          <t>2026-08-25</t>
        </is>
      </c>
      <c r="B18" s="6" t="inlineStr">
        <is>
          <t>pokemon-lab</t>
        </is>
      </c>
      <c r="C18" s="8" t="n">
        <v>1169</v>
      </c>
      <c r="D18" s="8" t="n">
        <v>54</v>
      </c>
      <c r="E18" s="6" t="n">
        <v>0</v>
      </c>
      <c r="F18" s="6" t="n">
        <v>0</v>
      </c>
      <c r="G18" s="6">
        <f>E18-F18</f>
        <v/>
      </c>
    </row>
    <row r="19">
      <c r="A19" s="6" t="inlineStr">
        <is>
          <t>2026-08-25</t>
        </is>
      </c>
      <c r="B19" s="6" t="inlineStr">
        <is>
          <t>scp-lab</t>
        </is>
      </c>
      <c r="C19" s="8" t="n">
        <v>2035</v>
      </c>
      <c r="D19" s="8" t="n">
        <v>101</v>
      </c>
      <c r="E19" s="6" t="n">
        <v>0</v>
      </c>
      <c r="F19" s="6" t="n">
        <v>0</v>
      </c>
      <c r="G19" s="6">
        <f>E19-F19</f>
        <v/>
      </c>
    </row>
    <row r="20">
      <c r="A20" s="6" t="inlineStr">
        <is>
          <t>2026-08-25</t>
        </is>
      </c>
      <c r="B20" s="6" t="inlineStr">
        <is>
          <t>yokai-watch</t>
        </is>
      </c>
      <c r="C20" s="8" t="n">
        <v>818</v>
      </c>
      <c r="D20" s="8" t="n">
        <v>64</v>
      </c>
      <c r="E20" s="6" t="n">
        <v>0</v>
      </c>
      <c r="F20" s="6" t="n">
        <v>0</v>
      </c>
      <c r="G20" s="6">
        <f>E20-F20</f>
        <v/>
      </c>
    </row>
    <row r="21">
      <c r="A21" s="6" t="inlineStr">
        <is>
          <t>2026-08-24</t>
        </is>
      </c>
      <c r="B21" s="6" t="inlineStr">
        <is>
          <t>2ch-matome</t>
        </is>
      </c>
      <c r="C21" s="8" t="n">
        <v>1068</v>
      </c>
      <c r="D21" s="8" t="n">
        <v>77</v>
      </c>
      <c r="E21" s="6" t="n">
        <v>1</v>
      </c>
      <c r="F21" s="6" t="n">
        <v>0</v>
      </c>
      <c r="G21" s="6">
        <f>E21-F21</f>
        <v/>
      </c>
    </row>
    <row r="22">
      <c r="A22" s="6" t="inlineStr">
        <is>
          <t>2026-08-24</t>
        </is>
      </c>
      <c r="B22" s="6" t="inlineStr">
        <is>
          <t>daily-science</t>
        </is>
      </c>
      <c r="C22" s="8" t="n">
        <v>897</v>
      </c>
      <c r="D22" s="8" t="n">
        <v>130</v>
      </c>
      <c r="E22" s="6" t="n">
        <v>1</v>
      </c>
      <c r="F22" s="6" t="n">
        <v>0</v>
      </c>
      <c r="G22" s="6">
        <f>E22-F22</f>
        <v/>
      </c>
    </row>
    <row r="23">
      <c r="A23" s="6" t="inlineStr">
        <is>
          <t>2026-08-24</t>
        </is>
      </c>
      <c r="B23" s="6" t="inlineStr">
        <is>
          <t>fake-paper</t>
        </is>
      </c>
      <c r="C23" s="8" t="n">
        <v>0</v>
      </c>
      <c r="D23" s="8" t="n">
        <v>0</v>
      </c>
      <c r="E23" s="6" t="n">
        <v>0</v>
      </c>
      <c r="F23" s="6" t="n">
        <v>0</v>
      </c>
      <c r="G23" s="6">
        <f>E23-F23</f>
        <v/>
      </c>
    </row>
    <row r="24">
      <c r="A24" s="6" t="inlineStr">
        <is>
          <t>2026-08-24</t>
        </is>
      </c>
      <c r="B24" s="6" t="inlineStr">
        <is>
          <t>pokemon-lab</t>
        </is>
      </c>
      <c r="C24" s="8" t="n">
        <v>676</v>
      </c>
      <c r="D24" s="8" t="n">
        <v>33</v>
      </c>
      <c r="E24" s="6" t="n">
        <v>1</v>
      </c>
      <c r="F24" s="6" t="n">
        <v>1</v>
      </c>
      <c r="G24" s="6">
        <f>E24-F24</f>
        <v/>
      </c>
    </row>
    <row r="25">
      <c r="A25" s="6" t="inlineStr">
        <is>
          <t>2026-08-24</t>
        </is>
      </c>
      <c r="B25" s="6" t="inlineStr">
        <is>
          <t>scp-lab</t>
        </is>
      </c>
      <c r="C25" s="8" t="n">
        <v>384</v>
      </c>
      <c r="D25" s="8" t="n">
        <v>39</v>
      </c>
      <c r="E25" s="6" t="n">
        <v>0</v>
      </c>
      <c r="F25" s="6" t="n">
        <v>0</v>
      </c>
      <c r="G25" s="6">
        <f>E25-F25</f>
        <v/>
      </c>
    </row>
    <row r="26">
      <c r="A26" s="6" t="inlineStr">
        <is>
          <t>2026-08-24</t>
        </is>
      </c>
      <c r="B26" s="6" t="inlineStr">
        <is>
          <t>yokai-watch</t>
        </is>
      </c>
      <c r="C26" s="8" t="n">
        <v>854</v>
      </c>
      <c r="D26" s="8" t="n">
        <v>80</v>
      </c>
      <c r="E26" s="6" t="n">
        <v>0</v>
      </c>
      <c r="F26" s="6" t="n">
        <v>0</v>
      </c>
      <c r="G26" s="6">
        <f>E26-F26</f>
        <v/>
      </c>
    </row>
    <row r="27">
      <c r="A27" s="6" t="inlineStr">
        <is>
          <t>2026-08-23</t>
        </is>
      </c>
      <c r="B27" s="6" t="inlineStr">
        <is>
          <t>2ch-matome</t>
        </is>
      </c>
      <c r="C27" s="8" t="n">
        <v>160</v>
      </c>
      <c r="D27" s="8" t="n">
        <v>10</v>
      </c>
      <c r="E27" s="6" t="n">
        <v>0</v>
      </c>
      <c r="F27" s="6" t="n">
        <v>0</v>
      </c>
      <c r="G27" s="6">
        <f>E27-F27</f>
        <v/>
      </c>
    </row>
    <row r="28">
      <c r="A28" s="6" t="inlineStr">
        <is>
          <t>2026-08-23</t>
        </is>
      </c>
      <c r="B28" s="6" t="inlineStr">
        <is>
          <t>daily-science</t>
        </is>
      </c>
      <c r="C28" s="8" t="n">
        <v>191</v>
      </c>
      <c r="D28" s="8" t="n">
        <v>32</v>
      </c>
      <c r="E28" s="6" t="n">
        <v>0</v>
      </c>
      <c r="F28" s="6" t="n">
        <v>0</v>
      </c>
      <c r="G28" s="6">
        <f>E28-F28</f>
        <v/>
      </c>
    </row>
    <row r="29">
      <c r="A29" s="6" t="inlineStr">
        <is>
          <t>2026-08-23</t>
        </is>
      </c>
      <c r="B29" s="6" t="inlineStr">
        <is>
          <t>fake-paper</t>
        </is>
      </c>
      <c r="C29" s="8" t="n">
        <v>0</v>
      </c>
      <c r="D29" s="8" t="n">
        <v>0</v>
      </c>
      <c r="E29" s="6" t="n">
        <v>0</v>
      </c>
      <c r="F29" s="6" t="n">
        <v>0</v>
      </c>
      <c r="G29" s="6">
        <f>E29-F29</f>
        <v/>
      </c>
    </row>
    <row r="30">
      <c r="A30" s="6" t="inlineStr">
        <is>
          <t>2026-08-23</t>
        </is>
      </c>
      <c r="B30" s="6" t="inlineStr">
        <is>
          <t>pokemon-lab</t>
        </is>
      </c>
      <c r="C30" s="8" t="n">
        <v>6</v>
      </c>
      <c r="D30" s="8" t="n">
        <v>0</v>
      </c>
      <c r="E30" s="6" t="n">
        <v>0</v>
      </c>
      <c r="F30" s="6" t="n">
        <v>0</v>
      </c>
      <c r="G30" s="6">
        <f>E30-F30</f>
        <v/>
      </c>
    </row>
    <row r="31">
      <c r="A31" s="6" t="inlineStr">
        <is>
          <t>2026-08-23</t>
        </is>
      </c>
      <c r="B31" s="6" t="inlineStr">
        <is>
          <t>scp-lab</t>
        </is>
      </c>
      <c r="C31" s="8" t="n">
        <v>1003</v>
      </c>
      <c r="D31" s="8" t="n">
        <v>69</v>
      </c>
      <c r="E31" s="6" t="n">
        <v>1</v>
      </c>
      <c r="F31" s="6" t="n">
        <v>1</v>
      </c>
      <c r="G31" s="6">
        <f>E31-F31</f>
        <v/>
      </c>
    </row>
    <row r="32">
      <c r="A32" s="6" t="inlineStr">
        <is>
          <t>2026-08-23</t>
        </is>
      </c>
      <c r="B32" s="6" t="inlineStr">
        <is>
          <t>yokai-watch</t>
        </is>
      </c>
      <c r="C32" s="8" t="n">
        <v>42</v>
      </c>
      <c r="D32" s="8" t="n">
        <v>3</v>
      </c>
      <c r="E32" s="6" t="n">
        <v>0</v>
      </c>
      <c r="F32" s="6" t="n">
        <v>0</v>
      </c>
      <c r="G32" s="6">
        <f>E32-F32</f>
        <v/>
      </c>
    </row>
    <row r="33">
      <c r="A33" s="6" t="inlineStr">
        <is>
          <t>2026-08-22</t>
        </is>
      </c>
      <c r="B33" s="6" t="inlineStr">
        <is>
          <t>2ch-matome</t>
        </is>
      </c>
      <c r="C33" s="8" t="n">
        <v>1129</v>
      </c>
      <c r="D33" s="8" t="n">
        <v>88</v>
      </c>
      <c r="E33" s="6" t="n">
        <v>0</v>
      </c>
      <c r="F33" s="6" t="n">
        <v>0</v>
      </c>
      <c r="G33" s="6">
        <f>E33-F33</f>
        <v/>
      </c>
    </row>
    <row r="34">
      <c r="A34" s="6" t="inlineStr">
        <is>
          <t>2026-08-22</t>
        </is>
      </c>
      <c r="B34" s="6" t="inlineStr">
        <is>
          <t>daily-science</t>
        </is>
      </c>
      <c r="C34" s="8" t="n">
        <v>1016</v>
      </c>
      <c r="D34" s="8" t="n">
        <v>107</v>
      </c>
      <c r="E34" s="6" t="n">
        <v>2</v>
      </c>
      <c r="F34" s="6" t="n">
        <v>0</v>
      </c>
      <c r="G34" s="6">
        <f>E34-F34</f>
        <v/>
      </c>
    </row>
    <row r="35">
      <c r="A35" s="6" t="inlineStr">
        <is>
          <t>2026-08-22</t>
        </is>
      </c>
      <c r="B35" s="6" t="inlineStr">
        <is>
          <t>fake-paper</t>
        </is>
      </c>
      <c r="C35" s="8" t="n">
        <v>1099</v>
      </c>
      <c r="D35" s="8" t="n">
        <v>71</v>
      </c>
      <c r="E35" s="6" t="n">
        <v>0</v>
      </c>
      <c r="F35" s="6" t="n">
        <v>0</v>
      </c>
      <c r="G35" s="6">
        <f>E35-F35</f>
        <v/>
      </c>
    </row>
    <row r="36">
      <c r="A36" s="6" t="inlineStr">
        <is>
          <t>2026-08-22</t>
        </is>
      </c>
      <c r="B36" s="6" t="inlineStr">
        <is>
          <t>pokemon-lab</t>
        </is>
      </c>
      <c r="C36" s="8" t="n">
        <v>6</v>
      </c>
      <c r="D36" s="8" t="n">
        <v>1</v>
      </c>
      <c r="E36" s="6" t="n">
        <v>0</v>
      </c>
      <c r="F36" s="6" t="n">
        <v>0</v>
      </c>
      <c r="G36" s="6">
        <f>E36-F36</f>
        <v/>
      </c>
    </row>
    <row r="37">
      <c r="A37" s="6" t="inlineStr">
        <is>
          <t>2026-08-22</t>
        </is>
      </c>
      <c r="B37" s="6" t="inlineStr">
        <is>
          <t>scp-lab</t>
        </is>
      </c>
      <c r="C37" s="8" t="n">
        <v>1256</v>
      </c>
      <c r="D37" s="8" t="n">
        <v>112</v>
      </c>
      <c r="E37" s="6" t="n">
        <v>2</v>
      </c>
      <c r="F37" s="6" t="n">
        <v>1</v>
      </c>
      <c r="G37" s="6">
        <f>E37-F37</f>
        <v/>
      </c>
    </row>
    <row r="38">
      <c r="A38" s="6" t="inlineStr">
        <is>
          <t>2026-08-22</t>
        </is>
      </c>
      <c r="B38" s="6" t="inlineStr">
        <is>
          <t>yokai-watch</t>
        </is>
      </c>
      <c r="C38" s="8" t="n">
        <v>600</v>
      </c>
      <c r="D38" s="8" t="n">
        <v>33</v>
      </c>
      <c r="E38" s="6" t="n">
        <v>0</v>
      </c>
      <c r="F38" s="6" t="n">
        <v>0</v>
      </c>
      <c r="G38" s="6">
        <f>E38-F38</f>
        <v/>
      </c>
    </row>
    <row r="39">
      <c r="A39" s="6" t="inlineStr">
        <is>
          <t>2026-08-21</t>
        </is>
      </c>
      <c r="B39" s="6" t="inlineStr">
        <is>
          <t>2ch-matome</t>
        </is>
      </c>
      <c r="C39" s="8" t="n">
        <v>3047</v>
      </c>
      <c r="D39" s="8" t="n">
        <v>218</v>
      </c>
      <c r="E39" s="6" t="n">
        <v>0</v>
      </c>
      <c r="F39" s="6" t="n">
        <v>0</v>
      </c>
      <c r="G39" s="6">
        <f>E39-F39</f>
        <v/>
      </c>
    </row>
    <row r="40">
      <c r="A40" s="6" t="inlineStr">
        <is>
          <t>2026-08-21</t>
        </is>
      </c>
      <c r="B40" s="6" t="inlineStr">
        <is>
          <t>daily-science</t>
        </is>
      </c>
      <c r="C40" s="8" t="n">
        <v>1600</v>
      </c>
      <c r="D40" s="8" t="n">
        <v>142</v>
      </c>
      <c r="E40" s="6" t="n">
        <v>0</v>
      </c>
      <c r="F40" s="6" t="n">
        <v>0</v>
      </c>
      <c r="G40" s="6">
        <f>E40-F40</f>
        <v/>
      </c>
    </row>
    <row r="41">
      <c r="A41" s="6" t="inlineStr">
        <is>
          <t>2026-08-21</t>
        </is>
      </c>
      <c r="B41" s="6" t="inlineStr">
        <is>
          <t>fake-paper</t>
        </is>
      </c>
      <c r="C41" s="8" t="n">
        <v>0</v>
      </c>
      <c r="D41" s="8" t="n">
        <v>0</v>
      </c>
      <c r="E41" s="6" t="n">
        <v>0</v>
      </c>
      <c r="F41" s="6" t="n">
        <v>0</v>
      </c>
      <c r="G41" s="6">
        <f>E41-F41</f>
        <v/>
      </c>
    </row>
    <row r="42">
      <c r="A42" s="6" t="inlineStr">
        <is>
          <t>2026-08-21</t>
        </is>
      </c>
      <c r="B42" s="6" t="inlineStr">
        <is>
          <t>pokemon-lab</t>
        </is>
      </c>
      <c r="C42" s="8" t="n">
        <v>2775</v>
      </c>
      <c r="D42" s="8" t="n">
        <v>193</v>
      </c>
      <c r="E42" s="6" t="n">
        <v>2</v>
      </c>
      <c r="F42" s="6" t="n">
        <v>0</v>
      </c>
      <c r="G42" s="6">
        <f>E42-F42</f>
        <v/>
      </c>
    </row>
    <row r="43">
      <c r="A43" s="6" t="inlineStr">
        <is>
          <t>2026-08-21</t>
        </is>
      </c>
      <c r="B43" s="6" t="inlineStr">
        <is>
          <t>scp-lab</t>
        </is>
      </c>
      <c r="C43" s="8" t="n">
        <v>742</v>
      </c>
      <c r="D43" s="8" t="n">
        <v>56</v>
      </c>
      <c r="E43" s="6" t="n">
        <v>0</v>
      </c>
      <c r="F43" s="6" t="n">
        <v>0</v>
      </c>
      <c r="G43" s="6">
        <f>E43-F43</f>
        <v/>
      </c>
    </row>
    <row r="44">
      <c r="A44" s="6" t="inlineStr">
        <is>
          <t>2026-08-21</t>
        </is>
      </c>
      <c r="B44" s="6" t="inlineStr">
        <is>
          <t>yokai-watch</t>
        </is>
      </c>
      <c r="C44" s="8" t="n">
        <v>716</v>
      </c>
      <c r="D44" s="8" t="n">
        <v>43</v>
      </c>
      <c r="E44" s="6" t="n">
        <v>0</v>
      </c>
      <c r="F44" s="6" t="n">
        <v>0</v>
      </c>
      <c r="G44" s="6">
        <f>E44-F44</f>
        <v/>
      </c>
    </row>
    <row r="45">
      <c r="A45" s="6" t="inlineStr">
        <is>
          <t>2026-08-20</t>
        </is>
      </c>
      <c r="B45" s="6" t="inlineStr">
        <is>
          <t>2ch-matome</t>
        </is>
      </c>
      <c r="C45" s="8" t="n">
        <v>2234</v>
      </c>
      <c r="D45" s="8" t="n">
        <v>114</v>
      </c>
      <c r="E45" s="6" t="n">
        <v>1</v>
      </c>
      <c r="F45" s="6" t="n">
        <v>0</v>
      </c>
      <c r="G45" s="6">
        <f>E45-F45</f>
        <v/>
      </c>
    </row>
    <row r="46">
      <c r="A46" s="6" t="inlineStr">
        <is>
          <t>2026-08-20</t>
        </is>
      </c>
      <c r="B46" s="6" t="inlineStr">
        <is>
          <t>daily-science</t>
        </is>
      </c>
      <c r="C46" s="8" t="n">
        <v>1622</v>
      </c>
      <c r="D46" s="8" t="n">
        <v>197</v>
      </c>
      <c r="E46" s="6" t="n">
        <v>1</v>
      </c>
      <c r="F46" s="6" t="n">
        <v>0</v>
      </c>
      <c r="G46" s="6">
        <f>E46-F46</f>
        <v/>
      </c>
    </row>
    <row r="47">
      <c r="A47" s="6" t="inlineStr">
        <is>
          <t>2026-08-20</t>
        </is>
      </c>
      <c r="B47" s="6" t="inlineStr">
        <is>
          <t>fake-paper</t>
        </is>
      </c>
      <c r="C47" s="8" t="n">
        <v>0</v>
      </c>
      <c r="D47" s="8" t="n">
        <v>0</v>
      </c>
      <c r="E47" s="6" t="n">
        <v>0</v>
      </c>
      <c r="F47" s="6" t="n">
        <v>0</v>
      </c>
      <c r="G47" s="6">
        <f>E47-F47</f>
        <v/>
      </c>
    </row>
    <row r="48">
      <c r="A48" s="6" t="inlineStr">
        <is>
          <t>2026-08-20</t>
        </is>
      </c>
      <c r="B48" s="6" t="inlineStr">
        <is>
          <t>pokemon-lab</t>
        </is>
      </c>
      <c r="C48" s="8" t="n">
        <v>1074</v>
      </c>
      <c r="D48" s="8" t="n">
        <v>77</v>
      </c>
      <c r="E48" s="6" t="n">
        <v>0</v>
      </c>
      <c r="F48" s="6" t="n">
        <v>0</v>
      </c>
      <c r="G48" s="6">
        <f>E48-F48</f>
        <v/>
      </c>
    </row>
    <row r="49">
      <c r="A49" s="6" t="inlineStr">
        <is>
          <t>2026-08-20</t>
        </is>
      </c>
      <c r="B49" s="6" t="inlineStr">
        <is>
          <t>scp-lab</t>
        </is>
      </c>
      <c r="C49" s="8" t="n">
        <v>682</v>
      </c>
      <c r="D49" s="8" t="n">
        <v>56</v>
      </c>
      <c r="E49" s="6" t="n">
        <v>0</v>
      </c>
      <c r="F49" s="6" t="n">
        <v>0</v>
      </c>
      <c r="G49" s="6">
        <f>E49-F49</f>
        <v/>
      </c>
    </row>
    <row r="50">
      <c r="A50" s="6" t="inlineStr">
        <is>
          <t>2026-08-20</t>
        </is>
      </c>
      <c r="B50" s="6" t="inlineStr">
        <is>
          <t>yokai-watch</t>
        </is>
      </c>
      <c r="C50" s="8" t="n">
        <v>1072</v>
      </c>
      <c r="D50" s="8" t="n">
        <v>86</v>
      </c>
      <c r="E50" s="6" t="n">
        <v>1</v>
      </c>
      <c r="F50" s="6" t="n">
        <v>0</v>
      </c>
      <c r="G50" s="6">
        <f>E50-F50</f>
        <v/>
      </c>
    </row>
    <row r="51">
      <c r="A51" s="6" t="inlineStr">
        <is>
          <t>2026-08-19</t>
        </is>
      </c>
      <c r="B51" s="6" t="inlineStr">
        <is>
          <t>2ch-matome</t>
        </is>
      </c>
      <c r="C51" s="8" t="n">
        <v>1825</v>
      </c>
      <c r="D51" s="8" t="n">
        <v>113</v>
      </c>
      <c r="E51" s="6" t="n">
        <v>0</v>
      </c>
      <c r="F51" s="6" t="n">
        <v>0</v>
      </c>
      <c r="G51" s="6">
        <f>E51-F51</f>
        <v/>
      </c>
    </row>
    <row r="52">
      <c r="A52" s="6" t="inlineStr">
        <is>
          <t>2026-08-19</t>
        </is>
      </c>
      <c r="B52" s="6" t="inlineStr">
        <is>
          <t>daily-science</t>
        </is>
      </c>
      <c r="C52" s="8" t="n">
        <v>1044</v>
      </c>
      <c r="D52" s="8" t="n">
        <v>82</v>
      </c>
      <c r="E52" s="6" t="n">
        <v>0</v>
      </c>
      <c r="F52" s="6" t="n">
        <v>0</v>
      </c>
      <c r="G52" s="6">
        <f>E52-F52</f>
        <v/>
      </c>
    </row>
    <row r="53">
      <c r="A53" s="6" t="inlineStr">
        <is>
          <t>2026-08-19</t>
        </is>
      </c>
      <c r="B53" s="6" t="inlineStr">
        <is>
          <t>fake-paper</t>
        </is>
      </c>
      <c r="C53" s="8" t="n">
        <v>0</v>
      </c>
      <c r="D53" s="8" t="n">
        <v>0</v>
      </c>
      <c r="E53" s="6" t="n">
        <v>0</v>
      </c>
      <c r="F53" s="6" t="n">
        <v>0</v>
      </c>
      <c r="G53" s="6">
        <f>E53-F53</f>
        <v/>
      </c>
    </row>
    <row r="54">
      <c r="A54" s="6" t="inlineStr">
        <is>
          <t>2026-08-19</t>
        </is>
      </c>
      <c r="B54" s="6" t="inlineStr">
        <is>
          <t>pokemon-lab</t>
        </is>
      </c>
      <c r="C54" s="8" t="n">
        <v>1328</v>
      </c>
      <c r="D54" s="8" t="n">
        <v>187</v>
      </c>
      <c r="E54" s="6" t="n">
        <v>0</v>
      </c>
      <c r="F54" s="6" t="n">
        <v>0</v>
      </c>
      <c r="G54" s="6">
        <f>E54-F54</f>
        <v/>
      </c>
    </row>
    <row r="55">
      <c r="A55" s="6" t="inlineStr">
        <is>
          <t>2026-08-19</t>
        </is>
      </c>
      <c r="B55" s="6" t="inlineStr">
        <is>
          <t>scp-lab</t>
        </is>
      </c>
      <c r="C55" s="8" t="n">
        <v>845</v>
      </c>
      <c r="D55" s="8" t="n">
        <v>89</v>
      </c>
      <c r="E55" s="6" t="n">
        <v>1</v>
      </c>
      <c r="F55" s="6" t="n">
        <v>0</v>
      </c>
      <c r="G55" s="6">
        <f>E55-F55</f>
        <v/>
      </c>
    </row>
    <row r="56">
      <c r="A56" s="6" t="inlineStr">
        <is>
          <t>2026-08-19</t>
        </is>
      </c>
      <c r="B56" s="6" t="inlineStr">
        <is>
          <t>yokai-watch</t>
        </is>
      </c>
      <c r="C56" s="8" t="n">
        <v>448</v>
      </c>
      <c r="D56" s="8" t="n">
        <v>38</v>
      </c>
      <c r="E56" s="6" t="n">
        <v>0</v>
      </c>
      <c r="F56" s="6" t="n">
        <v>0</v>
      </c>
      <c r="G56" s="6">
        <f>E56-F56</f>
        <v/>
      </c>
    </row>
    <row r="57">
      <c r="A57" s="6" t="inlineStr">
        <is>
          <t>2026-08-18</t>
        </is>
      </c>
      <c r="B57" s="6" t="inlineStr">
        <is>
          <t>2ch-matome</t>
        </is>
      </c>
      <c r="C57" s="8" t="n">
        <v>714</v>
      </c>
      <c r="D57" s="8" t="n">
        <v>41</v>
      </c>
      <c r="E57" s="6" t="n">
        <v>0</v>
      </c>
      <c r="F57" s="6" t="n">
        <v>0</v>
      </c>
      <c r="G57" s="6">
        <f>E57-F57</f>
        <v/>
      </c>
    </row>
    <row r="58">
      <c r="A58" s="6" t="inlineStr">
        <is>
          <t>2026-08-18</t>
        </is>
      </c>
      <c r="B58" s="6" t="inlineStr">
        <is>
          <t>daily-science</t>
        </is>
      </c>
      <c r="C58" s="8" t="n">
        <v>1114</v>
      </c>
      <c r="D58" s="8" t="n">
        <v>106</v>
      </c>
      <c r="E58" s="6" t="n">
        <v>1</v>
      </c>
      <c r="F58" s="6" t="n">
        <v>1</v>
      </c>
      <c r="G58" s="6">
        <f>E58-F58</f>
        <v/>
      </c>
    </row>
    <row r="59">
      <c r="A59" s="6" t="inlineStr">
        <is>
          <t>2026-08-18</t>
        </is>
      </c>
      <c r="B59" s="6" t="inlineStr">
        <is>
          <t>fake-paper</t>
        </is>
      </c>
      <c r="C59" s="8" t="n">
        <v>0</v>
      </c>
      <c r="D59" s="8" t="n">
        <v>0</v>
      </c>
      <c r="E59" s="6" t="n">
        <v>0</v>
      </c>
      <c r="F59" s="6" t="n">
        <v>0</v>
      </c>
      <c r="G59" s="6">
        <f>E59-F59</f>
        <v/>
      </c>
    </row>
    <row r="60">
      <c r="A60" s="6" t="inlineStr">
        <is>
          <t>2026-08-18</t>
        </is>
      </c>
      <c r="B60" s="6" t="inlineStr">
        <is>
          <t>pokemon-lab</t>
        </is>
      </c>
      <c r="C60" s="8" t="n">
        <v>1643</v>
      </c>
      <c r="D60" s="8" t="n">
        <v>191</v>
      </c>
      <c r="E60" s="6" t="n">
        <v>0</v>
      </c>
      <c r="F60" s="6" t="n">
        <v>0</v>
      </c>
      <c r="G60" s="6">
        <f>E60-F60</f>
        <v/>
      </c>
    </row>
    <row r="61">
      <c r="A61" s="6" t="inlineStr">
        <is>
          <t>2026-08-18</t>
        </is>
      </c>
      <c r="B61" s="6" t="inlineStr">
        <is>
          <t>scp-lab</t>
        </is>
      </c>
      <c r="C61" s="8" t="n">
        <v>110</v>
      </c>
      <c r="D61" s="8" t="n">
        <v>19</v>
      </c>
      <c r="E61" s="6" t="n">
        <v>1</v>
      </c>
      <c r="F61" s="6" t="n">
        <v>0</v>
      </c>
      <c r="G61" s="6">
        <f>E61-F61</f>
        <v/>
      </c>
    </row>
    <row r="62">
      <c r="A62" s="6" t="inlineStr">
        <is>
          <t>2026-08-18</t>
        </is>
      </c>
      <c r="B62" s="6" t="inlineStr">
        <is>
          <t>yokai-watch</t>
        </is>
      </c>
      <c r="C62" s="8" t="n">
        <v>1907</v>
      </c>
      <c r="D62" s="8" t="n">
        <v>206</v>
      </c>
      <c r="E62" s="6" t="n">
        <v>2</v>
      </c>
      <c r="F62" s="6" t="n">
        <v>1</v>
      </c>
      <c r="G62" s="6">
        <f>E62-F62</f>
        <v/>
      </c>
    </row>
    <row r="63">
      <c r="A63" s="6" t="inlineStr">
        <is>
          <t>2026-08-17</t>
        </is>
      </c>
      <c r="B63" s="6" t="inlineStr">
        <is>
          <t>2ch-matome</t>
        </is>
      </c>
      <c r="C63" s="8" t="n">
        <v>4892</v>
      </c>
      <c r="D63" s="8" t="n">
        <v>773</v>
      </c>
      <c r="E63" s="6" t="n">
        <v>0</v>
      </c>
      <c r="F63" s="6" t="n">
        <v>0</v>
      </c>
      <c r="G63" s="6">
        <f>E63-F63</f>
        <v/>
      </c>
    </row>
    <row r="64">
      <c r="A64" s="6" t="inlineStr">
        <is>
          <t>2026-08-17</t>
        </is>
      </c>
      <c r="B64" s="6" t="inlineStr">
        <is>
          <t>daily-science</t>
        </is>
      </c>
      <c r="C64" s="8" t="n">
        <v>982</v>
      </c>
      <c r="D64" s="8" t="n">
        <v>82</v>
      </c>
      <c r="E64" s="6" t="n">
        <v>0</v>
      </c>
      <c r="F64" s="6" t="n">
        <v>0</v>
      </c>
      <c r="G64" s="6">
        <f>E64-F64</f>
        <v/>
      </c>
    </row>
    <row r="65">
      <c r="A65" s="6" t="inlineStr">
        <is>
          <t>2026-08-17</t>
        </is>
      </c>
      <c r="B65" s="6" t="inlineStr">
        <is>
          <t>fake-paper</t>
        </is>
      </c>
      <c r="C65" s="8" t="n">
        <v>0</v>
      </c>
      <c r="D65" s="8" t="n">
        <v>0</v>
      </c>
      <c r="E65" s="6" t="n">
        <v>0</v>
      </c>
      <c r="F65" s="6" t="n">
        <v>0</v>
      </c>
      <c r="G65" s="6">
        <f>E65-F65</f>
        <v/>
      </c>
    </row>
    <row r="66">
      <c r="A66" s="6" t="inlineStr">
        <is>
          <t>2026-08-17</t>
        </is>
      </c>
      <c r="B66" s="6" t="inlineStr">
        <is>
          <t>pokemon-lab</t>
        </is>
      </c>
      <c r="C66" s="8" t="n">
        <v>1977</v>
      </c>
      <c r="D66" s="8" t="n">
        <v>204</v>
      </c>
      <c r="E66" s="6" t="n">
        <v>0</v>
      </c>
      <c r="F66" s="6" t="n">
        <v>0</v>
      </c>
      <c r="G66" s="6">
        <f>E66-F66</f>
        <v/>
      </c>
    </row>
    <row r="67">
      <c r="A67" s="6" t="inlineStr">
        <is>
          <t>2026-08-17</t>
        </is>
      </c>
      <c r="B67" s="6" t="inlineStr">
        <is>
          <t>scp-lab</t>
        </is>
      </c>
      <c r="C67" s="8" t="n">
        <v>2552</v>
      </c>
      <c r="D67" s="8" t="n">
        <v>327</v>
      </c>
      <c r="E67" s="6" t="n">
        <v>1</v>
      </c>
      <c r="F67" s="6" t="n">
        <v>0</v>
      </c>
      <c r="G67" s="6">
        <f>E67-F67</f>
        <v/>
      </c>
    </row>
    <row r="68">
      <c r="A68" s="6" t="inlineStr">
        <is>
          <t>2026-08-17</t>
        </is>
      </c>
      <c r="B68" s="6" t="inlineStr">
        <is>
          <t>yokai-watch</t>
        </is>
      </c>
      <c r="C68" s="8" t="n">
        <v>2348</v>
      </c>
      <c r="D68" s="8" t="n">
        <v>137</v>
      </c>
      <c r="E68" s="6" t="n">
        <v>0</v>
      </c>
      <c r="F68" s="6" t="n">
        <v>0</v>
      </c>
      <c r="G68" s="6">
        <f>E68-F68</f>
        <v/>
      </c>
    </row>
    <row r="69">
      <c r="A69" s="6" t="inlineStr">
        <is>
          <t>2026-08-16</t>
        </is>
      </c>
      <c r="B69" s="6" t="inlineStr">
        <is>
          <t>2ch-matome</t>
        </is>
      </c>
      <c r="C69" s="8" t="n">
        <v>4</v>
      </c>
      <c r="D69" s="8" t="n">
        <v>0</v>
      </c>
      <c r="E69" s="6" t="n">
        <v>0</v>
      </c>
      <c r="F69" s="6" t="n">
        <v>0</v>
      </c>
      <c r="G69" s="6">
        <f>E69-F69</f>
        <v/>
      </c>
    </row>
    <row r="70">
      <c r="A70" s="6" t="inlineStr">
        <is>
          <t>2026-08-16</t>
        </is>
      </c>
      <c r="B70" s="6" t="inlineStr">
        <is>
          <t>daily-science</t>
        </is>
      </c>
      <c r="C70" s="8" t="n">
        <v>13</v>
      </c>
      <c r="D70" s="8" t="n">
        <v>1</v>
      </c>
      <c r="E70" s="6" t="n">
        <v>0</v>
      </c>
      <c r="F70" s="6" t="n">
        <v>0</v>
      </c>
      <c r="G70" s="6">
        <f>E70-F70</f>
        <v/>
      </c>
    </row>
    <row r="71">
      <c r="A71" s="6" t="inlineStr">
        <is>
          <t>2026-08-16</t>
        </is>
      </c>
      <c r="B71" s="6" t="inlineStr">
        <is>
          <t>fake-paper</t>
        </is>
      </c>
      <c r="C71" s="8" t="n">
        <v>0</v>
      </c>
      <c r="D71" s="8" t="n">
        <v>0</v>
      </c>
      <c r="E71" s="6" t="n">
        <v>0</v>
      </c>
      <c r="F71" s="6" t="n">
        <v>0</v>
      </c>
      <c r="G71" s="6">
        <f>E71-F71</f>
        <v/>
      </c>
    </row>
    <row r="72">
      <c r="A72" s="6" t="inlineStr">
        <is>
          <t>2026-08-16</t>
        </is>
      </c>
      <c r="B72" s="6" t="inlineStr">
        <is>
          <t>pokemon-lab</t>
        </is>
      </c>
      <c r="C72" s="8" t="n">
        <v>3</v>
      </c>
      <c r="D72" s="8" t="n">
        <v>0</v>
      </c>
      <c r="E72" s="6" t="n">
        <v>0</v>
      </c>
      <c r="F72" s="6" t="n">
        <v>0</v>
      </c>
      <c r="G72" s="6">
        <f>E72-F72</f>
        <v/>
      </c>
    </row>
    <row r="73">
      <c r="A73" s="6" t="inlineStr">
        <is>
          <t>2026-08-16</t>
        </is>
      </c>
      <c r="B73" s="6" t="inlineStr">
        <is>
          <t>scp-lab</t>
        </is>
      </c>
      <c r="C73" s="8" t="n">
        <v>34</v>
      </c>
      <c r="D73" s="8" t="n">
        <v>6</v>
      </c>
      <c r="E73" s="6" t="n">
        <v>0</v>
      </c>
      <c r="F73" s="6" t="n">
        <v>0</v>
      </c>
      <c r="G73" s="6">
        <f>E73-F73</f>
        <v/>
      </c>
    </row>
    <row r="74">
      <c r="A74" s="6" t="inlineStr">
        <is>
          <t>2026-08-16</t>
        </is>
      </c>
      <c r="B74" s="6" t="inlineStr">
        <is>
          <t>yokai-watch</t>
        </is>
      </c>
      <c r="C74" s="8" t="n">
        <v>1163</v>
      </c>
      <c r="D74" s="8" t="n">
        <v>157</v>
      </c>
      <c r="E74" s="6" t="n">
        <v>2</v>
      </c>
      <c r="F74" s="6" t="n">
        <v>1</v>
      </c>
      <c r="G74" s="6">
        <f>E74-F74</f>
        <v/>
      </c>
    </row>
    <row r="75">
      <c r="A75" s="6" t="inlineStr">
        <is>
          <t>2026-08-15</t>
        </is>
      </c>
      <c r="B75" s="6" t="inlineStr">
        <is>
          <t>2ch-matome</t>
        </is>
      </c>
      <c r="C75" s="8" t="n">
        <v>2546</v>
      </c>
      <c r="D75" s="8" t="n">
        <v>287</v>
      </c>
      <c r="E75" s="6" t="n">
        <v>0</v>
      </c>
      <c r="F75" s="6" t="n">
        <v>0</v>
      </c>
      <c r="G75" s="6">
        <f>E75-F75</f>
        <v/>
      </c>
    </row>
    <row r="76">
      <c r="A76" s="6" t="inlineStr">
        <is>
          <t>2026-08-15</t>
        </is>
      </c>
      <c r="B76" s="6" t="inlineStr">
        <is>
          <t>daily-science</t>
        </is>
      </c>
      <c r="C76" s="8" t="n">
        <v>223</v>
      </c>
      <c r="D76" s="8" t="n">
        <v>14</v>
      </c>
      <c r="E76" s="6" t="n">
        <v>0</v>
      </c>
      <c r="F76" s="6" t="n">
        <v>0</v>
      </c>
      <c r="G76" s="6">
        <f>E76-F76</f>
        <v/>
      </c>
    </row>
    <row r="77">
      <c r="A77" s="6" t="inlineStr">
        <is>
          <t>2026-08-15</t>
        </is>
      </c>
      <c r="B77" s="6" t="inlineStr">
        <is>
          <t>fake-paper</t>
        </is>
      </c>
      <c r="C77" s="8" t="n">
        <v>0</v>
      </c>
      <c r="D77" s="8" t="n">
        <v>0</v>
      </c>
      <c r="E77" s="6" t="n">
        <v>0</v>
      </c>
      <c r="F77" s="6" t="n">
        <v>0</v>
      </c>
      <c r="G77" s="6">
        <f>E77-F77</f>
        <v/>
      </c>
    </row>
    <row r="78">
      <c r="A78" s="6" t="inlineStr">
        <is>
          <t>2026-08-15</t>
        </is>
      </c>
      <c r="B78" s="6" t="inlineStr">
        <is>
          <t>pokemon-lab</t>
        </is>
      </c>
      <c r="C78" s="8" t="n">
        <v>1561</v>
      </c>
      <c r="D78" s="8" t="n">
        <v>219</v>
      </c>
      <c r="E78" s="6" t="n">
        <v>1</v>
      </c>
      <c r="F78" s="6" t="n">
        <v>0</v>
      </c>
      <c r="G78" s="6">
        <f>E78-F78</f>
        <v/>
      </c>
    </row>
    <row r="79">
      <c r="A79" s="6" t="inlineStr">
        <is>
          <t>2026-08-15</t>
        </is>
      </c>
      <c r="B79" s="6" t="inlineStr">
        <is>
          <t>scp-lab</t>
        </is>
      </c>
      <c r="C79" s="8" t="n">
        <v>65</v>
      </c>
      <c r="D79" s="8" t="n">
        <v>10</v>
      </c>
      <c r="E79" s="6" t="n">
        <v>3</v>
      </c>
      <c r="F79" s="6" t="n">
        <v>0</v>
      </c>
      <c r="G79" s="6">
        <f>E79-F79</f>
        <v/>
      </c>
    </row>
    <row r="80">
      <c r="A80" s="6" t="inlineStr">
        <is>
          <t>2026-08-15</t>
        </is>
      </c>
      <c r="B80" s="6" t="inlineStr">
        <is>
          <t>yokai-watch</t>
        </is>
      </c>
      <c r="C80" s="8" t="n">
        <v>16</v>
      </c>
      <c r="D80" s="8" t="n">
        <v>1</v>
      </c>
      <c r="E80" s="6" t="n">
        <v>0</v>
      </c>
      <c r="F80" s="6" t="n">
        <v>0</v>
      </c>
      <c r="G80" s="6">
        <f>E80-F80</f>
        <v/>
      </c>
    </row>
    <row r="81">
      <c r="A81" s="6" t="inlineStr">
        <is>
          <t>2026-08-14</t>
        </is>
      </c>
      <c r="B81" s="6" t="inlineStr">
        <is>
          <t>2ch-matome</t>
        </is>
      </c>
      <c r="C81" s="8" t="n">
        <v>3032</v>
      </c>
      <c r="D81" s="8" t="n">
        <v>302</v>
      </c>
      <c r="E81" s="6" t="n">
        <v>2</v>
      </c>
      <c r="F81" s="6" t="n">
        <v>0</v>
      </c>
      <c r="G81" s="6">
        <f>E81-F81</f>
        <v/>
      </c>
    </row>
    <row r="82">
      <c r="A82" s="6" t="inlineStr">
        <is>
          <t>2026-08-14</t>
        </is>
      </c>
      <c r="B82" s="6" t="inlineStr">
        <is>
          <t>daily-science</t>
        </is>
      </c>
      <c r="C82" s="8" t="n">
        <v>1109</v>
      </c>
      <c r="D82" s="8" t="n">
        <v>70</v>
      </c>
      <c r="E82" s="6" t="n">
        <v>0</v>
      </c>
      <c r="F82" s="6" t="n">
        <v>0</v>
      </c>
      <c r="G82" s="6">
        <f>E82-F82</f>
        <v/>
      </c>
    </row>
    <row r="83">
      <c r="A83" s="6" t="inlineStr">
        <is>
          <t>2026-08-14</t>
        </is>
      </c>
      <c r="B83" s="6" t="inlineStr">
        <is>
          <t>fake-paper</t>
        </is>
      </c>
      <c r="C83" s="8" t="n">
        <v>0</v>
      </c>
      <c r="D83" s="8" t="n">
        <v>0</v>
      </c>
      <c r="E83" s="6" t="n">
        <v>0</v>
      </c>
      <c r="F83" s="6" t="n">
        <v>0</v>
      </c>
      <c r="G83" s="6">
        <f>E83-F83</f>
        <v/>
      </c>
    </row>
    <row r="84">
      <c r="A84" s="6" t="inlineStr">
        <is>
          <t>2026-08-14</t>
        </is>
      </c>
      <c r="B84" s="6" t="inlineStr">
        <is>
          <t>pokemon-lab</t>
        </is>
      </c>
      <c r="C84" s="8" t="n">
        <v>1573</v>
      </c>
      <c r="D84" s="8" t="n">
        <v>188</v>
      </c>
      <c r="E84" s="6" t="n">
        <v>1</v>
      </c>
      <c r="F84" s="6" t="n">
        <v>0</v>
      </c>
      <c r="G84" s="6">
        <f>E84-F84</f>
        <v/>
      </c>
    </row>
    <row r="85">
      <c r="A85" s="6" t="inlineStr">
        <is>
          <t>2026-08-14</t>
        </is>
      </c>
      <c r="B85" s="6" t="inlineStr">
        <is>
          <t>scp-lab</t>
        </is>
      </c>
      <c r="C85" s="8" t="n">
        <v>1171</v>
      </c>
      <c r="D85" s="8" t="n">
        <v>109</v>
      </c>
      <c r="E85" s="6" t="n">
        <v>0</v>
      </c>
      <c r="F85" s="6" t="n">
        <v>0</v>
      </c>
      <c r="G85" s="6">
        <f>E85-F85</f>
        <v/>
      </c>
    </row>
    <row r="86">
      <c r="A86" s="6" t="inlineStr">
        <is>
          <t>2026-08-14</t>
        </is>
      </c>
      <c r="B86" s="6" t="inlineStr">
        <is>
          <t>yokai-watch</t>
        </is>
      </c>
      <c r="C86" s="8" t="n">
        <v>1950</v>
      </c>
      <c r="D86" s="8" t="n">
        <v>259</v>
      </c>
      <c r="E86" s="6" t="n">
        <v>0</v>
      </c>
      <c r="F86" s="6" t="n">
        <v>0</v>
      </c>
      <c r="G86" s="6">
        <f>E86-F86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54" customWidth="1" min="3" max="3"/>
    <col width="14" customWidth="1" min="4" max="4"/>
    <col width="7" customWidth="1" min="5" max="5"/>
    <col width="9" customWidth="1" min="6" max="6"/>
    <col width="10" customWidth="1" min="7" max="7"/>
    <col width="11" customWidth="1" min="8" max="8"/>
    <col width="8" customWidth="1" min="9" max="9"/>
    <col width="9" customWidth="1" min="10" max="10"/>
    <col width="7" customWidth="1" min="11" max="11"/>
  </cols>
  <sheetData>
    <row r="1">
      <c r="A1" s="1" t="inlineStr">
        <is>
          <t>動画別パフォーマンス（08-18以降 公開分）</t>
        </is>
      </c>
    </row>
    <row r="2">
      <c r="A2" s="2" t="inlineStr">
        <is>
          <t>維持率50%以上=緑 / 30%未満=赤。タイトル型は本日の分析軸（連番テンプレ vs 自然文）。</t>
        </is>
      </c>
    </row>
    <row r="4">
      <c r="A4" s="5" t="inlineStr">
        <is>
          <t>公開日</t>
        </is>
      </c>
      <c r="B4" s="5" t="inlineStr">
        <is>
          <t>チャンネル</t>
        </is>
      </c>
      <c r="C4" s="5" t="inlineStr">
        <is>
          <t>タイトル</t>
        </is>
      </c>
      <c r="D4" s="5" t="inlineStr">
        <is>
          <t>タイトル型</t>
        </is>
      </c>
      <c r="E4" s="5" t="inlineStr">
        <is>
          <t>字数</t>
        </is>
      </c>
      <c r="F4" s="5" t="inlineStr">
        <is>
          <t>再生</t>
        </is>
      </c>
      <c r="G4" s="5" t="inlineStr">
        <is>
          <t>維持率%</t>
        </is>
      </c>
      <c r="H4" s="5" t="inlineStr">
        <is>
          <t>平均視聴秒</t>
        </is>
      </c>
      <c r="I4" s="5" t="inlineStr">
        <is>
          <t>高評価</t>
        </is>
      </c>
      <c r="J4" s="5" t="inlineStr">
        <is>
          <t>コメント</t>
        </is>
      </c>
      <c r="K4" s="5" t="inlineStr">
        <is>
          <t>登録</t>
        </is>
      </c>
    </row>
    <row r="5">
      <c r="A5" s="6" t="inlineStr">
        <is>
          <t>2026-08-28</t>
        </is>
      </c>
      <c r="B5" s="6" t="inlineStr">
        <is>
          <t>scp-lab</t>
        </is>
      </c>
      <c r="C5" s="16" t="inlineStr">
        <is>
          <t>一口SCP #105：💀SCP-239「魔女の子供」眠る8歳を財団が恐れた収容記録😱【ショート】</t>
        </is>
      </c>
      <c r="D5" s="20" t="inlineStr">
        <is>
          <t>連番テンプレ</t>
        </is>
      </c>
      <c r="E5" s="6" t="n">
        <v>48</v>
      </c>
      <c r="F5" s="8" t="n">
        <v>908</v>
      </c>
      <c r="G5" s="7" t="n">
        <v>31.6</v>
      </c>
      <c r="H5" s="7" t="n">
        <v>14</v>
      </c>
      <c r="I5" s="6" t="n">
        <v>3</v>
      </c>
      <c r="J5" s="6" t="n">
        <v>0</v>
      </c>
      <c r="K5" s="6" t="n">
        <v>1</v>
      </c>
    </row>
    <row r="6">
      <c r="A6" s="6" t="inlineStr">
        <is>
          <t>2026-08-28</t>
        </is>
      </c>
      <c r="B6" s="6" t="inlineStr">
        <is>
          <t>daily-science</t>
        </is>
      </c>
      <c r="C6" s="16" t="inlineStr">
        <is>
          <t>1分科学 #98：🌍なぜ歩くと腕と足は逆に動くのか？あなたの体が毎秒行う回転制御の正体【ショート】</t>
        </is>
      </c>
      <c r="D6" s="20" t="inlineStr">
        <is>
          <t>連番テンプレ</t>
        </is>
      </c>
      <c r="E6" s="6" t="n">
        <v>49</v>
      </c>
      <c r="F6" s="8" t="n">
        <v>905</v>
      </c>
      <c r="G6" s="7" t="n">
        <v>30.3</v>
      </c>
      <c r="H6" s="7" t="n">
        <v>12</v>
      </c>
      <c r="I6" s="6" t="n">
        <v>2</v>
      </c>
      <c r="J6" s="6" t="n">
        <v>1</v>
      </c>
      <c r="K6" s="6" t="n">
        <v>0</v>
      </c>
    </row>
    <row r="7">
      <c r="A7" s="6" t="inlineStr">
        <is>
          <t>2026-08-28</t>
        </is>
      </c>
      <c r="B7" s="6" t="inlineStr">
        <is>
          <t>scp-lab</t>
        </is>
      </c>
      <c r="C7" s="16" t="inlineStr">
        <is>
          <t>一口SCP #106：🫣MTFアルファからオメガ、あなたの部屋にも来る財団極秘作戦の恐怖💀【ショート】</t>
        </is>
      </c>
      <c r="D7" s="20" t="inlineStr">
        <is>
          <t>連番テンプレ</t>
        </is>
      </c>
      <c r="E7" s="6" t="n">
        <v>51</v>
      </c>
      <c r="F7" s="8" t="n">
        <v>871</v>
      </c>
      <c r="G7" s="21" t="n">
        <v>26.6</v>
      </c>
      <c r="H7" s="7" t="n">
        <v>10</v>
      </c>
      <c r="I7" s="6" t="n">
        <v>2</v>
      </c>
      <c r="J7" s="6" t="n">
        <v>0</v>
      </c>
      <c r="K7" s="6" t="n">
        <v>0</v>
      </c>
    </row>
    <row r="8">
      <c r="A8" s="6" t="inlineStr">
        <is>
          <t>2026-08-28</t>
        </is>
      </c>
      <c r="B8" s="6" t="inlineStr">
        <is>
          <t>pokemon-lab</t>
        </is>
      </c>
      <c r="C8" s="16" t="inlineStr">
        <is>
          <t>1分ポケモン研究 #18：👀ポケモンタワーに隠された秘密、あなたが見落とす3つの違和感は？👀【ショート】</t>
        </is>
      </c>
      <c r="D8" s="20" t="inlineStr">
        <is>
          <t>連番テンプレ</t>
        </is>
      </c>
      <c r="E8" s="6" t="n">
        <v>52</v>
      </c>
      <c r="F8" s="8" t="n">
        <v>160</v>
      </c>
      <c r="G8" s="21" t="n">
        <v>19.1</v>
      </c>
      <c r="H8" s="7" t="n">
        <v>8</v>
      </c>
      <c r="I8" s="6" t="n">
        <v>0</v>
      </c>
      <c r="J8" s="6" t="n">
        <v>0</v>
      </c>
      <c r="K8" s="6" t="n">
        <v>0</v>
      </c>
    </row>
    <row r="9">
      <c r="A9" s="6" t="inlineStr">
        <is>
          <t>2026-08-27</t>
        </is>
      </c>
      <c r="B9" s="6" t="inlineStr">
        <is>
          <t>scp-lab</t>
        </is>
      </c>
      <c r="C9" s="16" t="inlineStr">
        <is>
          <t>一口SCP：SCP-006-JP「あけろ」ドアの向こうの記録 #shorts #SCP #SCP解説</t>
        </is>
      </c>
      <c r="D9" s="6" t="inlineStr">
        <is>
          <t>自然文</t>
        </is>
      </c>
      <c r="E9" s="6" t="n">
        <v>50</v>
      </c>
      <c r="F9" s="8" t="n">
        <v>976</v>
      </c>
      <c r="G9" s="22" t="n">
        <v>64.7</v>
      </c>
      <c r="H9" s="7" t="n">
        <v>17</v>
      </c>
      <c r="I9" s="6" t="n">
        <v>5</v>
      </c>
      <c r="J9" s="6" t="n">
        <v>0</v>
      </c>
      <c r="K9" s="6" t="n">
        <v>1</v>
      </c>
    </row>
    <row r="10">
      <c r="A10" s="6" t="inlineStr">
        <is>
          <t>2026-08-27</t>
        </is>
      </c>
      <c r="B10" s="6" t="inlineStr">
        <is>
          <t>2ch-matome</t>
        </is>
      </c>
      <c r="C10" s="16" t="inlineStr">
        <is>
          <t>🤣ワイ、大谷の昼飯を3秒で当てるスレw🤣【ショート】</t>
        </is>
      </c>
      <c r="D10" s="6" t="inlineStr">
        <is>
          <t>自然文</t>
        </is>
      </c>
      <c r="E10" s="6" t="n">
        <v>26</v>
      </c>
      <c r="F10" s="8" t="n">
        <v>955</v>
      </c>
      <c r="G10" s="22" t="n">
        <v>146.1</v>
      </c>
      <c r="H10" s="7" t="n">
        <v>54</v>
      </c>
      <c r="I10" s="6" t="n">
        <v>3</v>
      </c>
      <c r="J10" s="6" t="n">
        <v>0</v>
      </c>
      <c r="K10" s="6" t="n">
        <v>0</v>
      </c>
    </row>
    <row r="11">
      <c r="A11" s="6" t="inlineStr">
        <is>
          <t>2026-08-27</t>
        </is>
      </c>
      <c r="B11" s="6" t="inlineStr">
        <is>
          <t>pokemon-lab</t>
        </is>
      </c>
      <c r="C11" s="16" t="inlineStr">
        <is>
          <t>1分ポケモン研究：ヌメルゴンとバンギラス、特防が高いのはどっち #shorts #ポケモン #ポケモン雑学</t>
        </is>
      </c>
      <c r="D11" s="6" t="inlineStr">
        <is>
          <t>自然文</t>
        </is>
      </c>
      <c r="E11" s="6" t="n">
        <v>53</v>
      </c>
      <c r="F11" s="8" t="n">
        <v>947</v>
      </c>
      <c r="G11" s="7" t="n">
        <v>36.9</v>
      </c>
      <c r="H11" s="7" t="n">
        <v>13</v>
      </c>
      <c r="I11" s="6" t="n">
        <v>2</v>
      </c>
      <c r="J11" s="6" t="n">
        <v>0</v>
      </c>
      <c r="K11" s="6" t="n">
        <v>1</v>
      </c>
    </row>
    <row r="12">
      <c r="A12" s="6" t="inlineStr">
        <is>
          <t>2026-08-27</t>
        </is>
      </c>
      <c r="B12" s="6" t="inlineStr">
        <is>
          <t>daily-science</t>
        </is>
      </c>
      <c r="C12" s="16" t="inlineStr">
        <is>
          <t>1分科学：なぜ蚊に刺された場所は数分後から痒くなるのか #shorts #雑学 #豆知識</t>
        </is>
      </c>
      <c r="D12" s="6" t="inlineStr">
        <is>
          <t>自然文</t>
        </is>
      </c>
      <c r="E12" s="6" t="n">
        <v>44</v>
      </c>
      <c r="F12" s="8" t="n">
        <v>901</v>
      </c>
      <c r="G12" s="22" t="n">
        <v>53.4</v>
      </c>
      <c r="H12" s="7" t="n">
        <v>15</v>
      </c>
      <c r="I12" s="6" t="n">
        <v>6</v>
      </c>
      <c r="J12" s="6" t="n">
        <v>0</v>
      </c>
      <c r="K12" s="6" t="n">
        <v>1</v>
      </c>
    </row>
    <row r="13">
      <c r="A13" s="6" t="inlineStr">
        <is>
          <t>2026-08-27</t>
        </is>
      </c>
      <c r="B13" s="6" t="inlineStr">
        <is>
          <t>scp-lab</t>
        </is>
      </c>
      <c r="C13" s="16" t="inlineStr">
        <is>
          <t>なぜ「死亡者0人」の日々で人々が消えたのか【SCP-3519】【ショート】</t>
        </is>
      </c>
      <c r="D13" s="6" t="inlineStr">
        <is>
          <t>自然文</t>
        </is>
      </c>
      <c r="E13" s="6" t="n">
        <v>37</v>
      </c>
      <c r="F13" s="8" t="n">
        <v>893</v>
      </c>
      <c r="G13" s="21" t="n">
        <v>29.6</v>
      </c>
      <c r="H13" s="7" t="n">
        <v>13</v>
      </c>
      <c r="I13" s="6" t="n">
        <v>4</v>
      </c>
      <c r="J13" s="6" t="n">
        <v>0</v>
      </c>
      <c r="K13" s="6" t="n">
        <v>1</v>
      </c>
    </row>
    <row r="14">
      <c r="A14" s="6" t="inlineStr">
        <is>
          <t>2026-08-27</t>
        </is>
      </c>
      <c r="B14" s="6" t="inlineStr">
        <is>
          <t>yokai-watch</t>
        </is>
      </c>
      <c r="C14" s="16" t="inlineStr">
        <is>
          <t>1分妖怪ファイル：キュウビの元ネタ玉藻前、殺生石になった結末 #shorts #妖怪 #都市伝説</t>
        </is>
      </c>
      <c r="D14" s="6" t="inlineStr">
        <is>
          <t>自然文</t>
        </is>
      </c>
      <c r="E14" s="6" t="n">
        <v>48</v>
      </c>
      <c r="F14" s="8" t="n">
        <v>888</v>
      </c>
      <c r="G14" s="22" t="n">
        <v>80.7</v>
      </c>
      <c r="H14" s="7" t="n">
        <v>24</v>
      </c>
      <c r="I14" s="6" t="n">
        <v>5</v>
      </c>
      <c r="J14" s="6" t="n">
        <v>0</v>
      </c>
      <c r="K14" s="6" t="n">
        <v>1</v>
      </c>
    </row>
    <row r="15">
      <c r="A15" s="6" t="inlineStr">
        <is>
          <t>2026-08-27</t>
        </is>
      </c>
      <c r="B15" s="6" t="inlineStr">
        <is>
          <t>pokemon-lab</t>
        </is>
      </c>
      <c r="C15" s="16" t="inlineStr">
        <is>
          <t>1分ポケモン研究 #17：👀ミュウツーに隠された3手先の秘密、AIはなぜ交代を読める？【ショート】</t>
        </is>
      </c>
      <c r="D15" s="20" t="inlineStr">
        <is>
          <t>連番テンプレ</t>
        </is>
      </c>
      <c r="E15" s="6" t="n">
        <v>49</v>
      </c>
      <c r="F15" s="8" t="n">
        <v>866</v>
      </c>
      <c r="G15" s="7" t="n">
        <v>41.9</v>
      </c>
      <c r="H15" s="7" t="n">
        <v>16</v>
      </c>
      <c r="I15" s="6" t="n">
        <v>3</v>
      </c>
      <c r="J15" s="6" t="n">
        <v>0</v>
      </c>
      <c r="K15" s="6" t="n">
        <v>0</v>
      </c>
    </row>
    <row r="16">
      <c r="A16" s="6" t="inlineStr">
        <is>
          <t>2026-08-27</t>
        </is>
      </c>
      <c r="B16" s="6" t="inlineStr">
        <is>
          <t>daily-science</t>
        </is>
      </c>
      <c r="C16" s="16" t="inlineStr">
        <is>
          <t>1分科学 #97：🧬なぜ大谷翔平は睡眠を最優先するのか？8時間超が支える体の正体【ショート】</t>
        </is>
      </c>
      <c r="D16" s="20" t="inlineStr">
        <is>
          <t>連番テンプレ</t>
        </is>
      </c>
      <c r="E16" s="6" t="n">
        <v>46</v>
      </c>
      <c r="F16" s="8" t="n">
        <v>841</v>
      </c>
      <c r="G16" s="22" t="n">
        <v>59.7</v>
      </c>
      <c r="H16" s="7" t="n">
        <v>23</v>
      </c>
      <c r="I16" s="6" t="n">
        <v>7</v>
      </c>
      <c r="J16" s="6" t="n">
        <v>0</v>
      </c>
      <c r="K16" s="6" t="n">
        <v>1</v>
      </c>
    </row>
    <row r="17">
      <c r="A17" s="6" t="inlineStr">
        <is>
          <t>2026-08-27</t>
        </is>
      </c>
      <c r="B17" s="6" t="inlineStr">
        <is>
          <t>2ch-matome</t>
        </is>
      </c>
      <c r="C17" s="16" t="inlineStr">
        <is>
          <t>彼女の家で開けたらアカン引き出し開けたんやが #shorts #2ch #面白いスレ</t>
        </is>
      </c>
      <c r="D17" s="6" t="inlineStr">
        <is>
          <t>自然文</t>
        </is>
      </c>
      <c r="E17" s="6" t="n">
        <v>42</v>
      </c>
      <c r="F17" s="8" t="n">
        <v>838</v>
      </c>
      <c r="G17" s="22" t="n">
        <v>50.7</v>
      </c>
      <c r="H17" s="7" t="n">
        <v>13</v>
      </c>
      <c r="I17" s="6" t="n">
        <v>1</v>
      </c>
      <c r="J17" s="6" t="n">
        <v>0</v>
      </c>
      <c r="K17" s="6" t="n">
        <v>0</v>
      </c>
    </row>
    <row r="18">
      <c r="A18" s="6" t="inlineStr">
        <is>
          <t>2026-08-27</t>
        </is>
      </c>
      <c r="B18" s="6" t="inlineStr">
        <is>
          <t>yokai-watch</t>
        </is>
      </c>
      <c r="C18" s="16" t="inlineStr">
        <is>
          <t>1分妖怪ファイル #16：👁️妖怪ウォッチに隠された3つの秘密、大谷翔平と妖怪伝説の関係は？【ショート】</t>
        </is>
      </c>
      <c r="D18" s="20" t="inlineStr">
        <is>
          <t>連番テンプレ</t>
        </is>
      </c>
      <c r="E18" s="6" t="n">
        <v>52</v>
      </c>
      <c r="F18" s="8" t="n">
        <v>507</v>
      </c>
      <c r="G18" s="7" t="n">
        <v>32.5</v>
      </c>
      <c r="H18" s="7" t="n">
        <v>13</v>
      </c>
      <c r="I18" s="6" t="n">
        <v>2</v>
      </c>
      <c r="J18" s="6" t="n">
        <v>0</v>
      </c>
      <c r="K18" s="6" t="n">
        <v>0</v>
      </c>
    </row>
    <row r="19">
      <c r="A19" s="6" t="inlineStr">
        <is>
          <t>2026-08-26</t>
        </is>
      </c>
      <c r="B19" s="6" t="inlineStr">
        <is>
          <t>scp-lab</t>
        </is>
      </c>
      <c r="C19" s="16" t="inlineStr">
        <is>
          <t>一口SCP #101：🫣SCP-雷撃記録、あなたの部屋まで届く落雷恐怖【ショート】</t>
        </is>
      </c>
      <c r="D19" s="20" t="inlineStr">
        <is>
          <t>連番テンプレ</t>
        </is>
      </c>
      <c r="E19" s="6" t="n">
        <v>41</v>
      </c>
      <c r="F19" s="8" t="n">
        <v>1001</v>
      </c>
      <c r="G19" s="21" t="n">
        <v>24.8</v>
      </c>
      <c r="H19" s="7" t="n">
        <v>11</v>
      </c>
      <c r="I19" s="6" t="n">
        <v>7</v>
      </c>
      <c r="J19" s="6" t="n">
        <v>0</v>
      </c>
      <c r="K19" s="6" t="n">
        <v>0</v>
      </c>
    </row>
    <row r="20">
      <c r="A20" s="6" t="inlineStr">
        <is>
          <t>2026-08-26</t>
        </is>
      </c>
      <c r="B20" s="6" t="inlineStr">
        <is>
          <t>scp-lab</t>
        </is>
      </c>
      <c r="C20" s="16" t="inlineStr">
        <is>
          <t>なぜ調査員はSCP-1283-JPの踏切のむこうで消えたのか？【ショート】</t>
        </is>
      </c>
      <c r="D20" s="6" t="inlineStr">
        <is>
          <t>自然文</t>
        </is>
      </c>
      <c r="E20" s="6" t="n">
        <v>37</v>
      </c>
      <c r="F20" s="8" t="n">
        <v>961</v>
      </c>
      <c r="G20" s="7" t="n">
        <v>33.8</v>
      </c>
      <c r="H20" s="7" t="n">
        <v>14</v>
      </c>
      <c r="I20" s="6" t="n">
        <v>6</v>
      </c>
      <c r="J20" s="6" t="n">
        <v>0</v>
      </c>
      <c r="K20" s="6" t="n">
        <v>2</v>
      </c>
    </row>
    <row r="21">
      <c r="A21" s="6" t="inlineStr">
        <is>
          <t>2026-08-26</t>
        </is>
      </c>
      <c r="B21" s="6" t="inlineStr">
        <is>
          <t>2ch-matome</t>
        </is>
      </c>
      <c r="C21" s="16" t="inlineStr">
        <is>
          <t>実は迷子続出？ドラゴンボールパークで何が起きたのか【ショート】</t>
        </is>
      </c>
      <c r="D21" s="6" t="inlineStr">
        <is>
          <t>自然文</t>
        </is>
      </c>
      <c r="E21" s="6" t="n">
        <v>31</v>
      </c>
      <c r="F21" s="8" t="n">
        <v>957</v>
      </c>
      <c r="G21" s="7" t="n">
        <v>34.4</v>
      </c>
      <c r="H21" s="7" t="n">
        <v>13</v>
      </c>
      <c r="I21" s="6" t="n">
        <v>5</v>
      </c>
      <c r="J21" s="6" t="n">
        <v>0</v>
      </c>
      <c r="K21" s="6" t="n">
        <v>0</v>
      </c>
    </row>
    <row r="22">
      <c r="A22" s="6" t="inlineStr">
        <is>
          <t>2026-08-26</t>
        </is>
      </c>
      <c r="B22" s="6" t="inlineStr">
        <is>
          <t>daily-science</t>
        </is>
      </c>
      <c r="C22" s="16" t="inlineStr">
        <is>
          <t>1分科学 #95：🧪なぜ雷鳴の3秒前から体が固まるのか？あなたの脳に起きる反応の正体🧬【ショート】</t>
        </is>
      </c>
      <c r="D22" s="20" t="inlineStr">
        <is>
          <t>連番テンプレ</t>
        </is>
      </c>
      <c r="E22" s="6" t="n">
        <v>49</v>
      </c>
      <c r="F22" s="8" t="n">
        <v>944</v>
      </c>
      <c r="G22" s="7" t="n">
        <v>41.7</v>
      </c>
      <c r="H22" s="7" t="n">
        <v>16</v>
      </c>
      <c r="I22" s="6" t="n">
        <v>7</v>
      </c>
      <c r="J22" s="6" t="n">
        <v>0</v>
      </c>
      <c r="K22" s="6" t="n">
        <v>0</v>
      </c>
    </row>
    <row r="23">
      <c r="A23" s="6" t="inlineStr">
        <is>
          <t>2026-08-26</t>
        </is>
      </c>
      <c r="B23" s="6" t="inlineStr">
        <is>
          <t>pokemon-lab</t>
        </is>
      </c>
      <c r="C23" s="16" t="inlineStr">
        <is>
          <t>1分ポケモン研究 #15：👀シャンデラに隠された秘密、なぜ霊タイプ？君が知らない3つの由来【ショート】</t>
        </is>
      </c>
      <c r="D23" s="20" t="inlineStr">
        <is>
          <t>連番テンプレ</t>
        </is>
      </c>
      <c r="E23" s="6" t="n">
        <v>51</v>
      </c>
      <c r="F23" s="8" t="n">
        <v>920</v>
      </c>
      <c r="G23" s="21" t="n">
        <v>25</v>
      </c>
      <c r="H23" s="7" t="n">
        <v>14</v>
      </c>
      <c r="I23" s="6" t="n">
        <v>1</v>
      </c>
      <c r="J23" s="6" t="n">
        <v>0</v>
      </c>
      <c r="K23" s="6" t="n">
        <v>0</v>
      </c>
    </row>
    <row r="24">
      <c r="A24" s="6" t="inlineStr">
        <is>
          <t>2026-08-26</t>
        </is>
      </c>
      <c r="B24" s="6" t="inlineStr">
        <is>
          <t>yokai-watch</t>
        </is>
      </c>
      <c r="C24" s="16" t="inlineStr">
        <is>
          <t>1分妖怪ファイル #14：❓コマさんとコマじろうの秘密、2体で狛犬になる本当の理由は？【ショート】</t>
        </is>
      </c>
      <c r="D24" s="20" t="inlineStr">
        <is>
          <t>連番テンプレ</t>
        </is>
      </c>
      <c r="E24" s="6" t="n">
        <v>49</v>
      </c>
      <c r="F24" s="8" t="n">
        <v>124</v>
      </c>
      <c r="G24" s="21" t="n">
        <v>21.3</v>
      </c>
      <c r="H24" s="7" t="n">
        <v>11</v>
      </c>
      <c r="I24" s="6" t="n">
        <v>0</v>
      </c>
      <c r="J24" s="6" t="n">
        <v>0</v>
      </c>
      <c r="K24" s="6" t="n">
        <v>0</v>
      </c>
    </row>
    <row r="25">
      <c r="A25" s="6" t="inlineStr">
        <is>
          <t>2026-08-25</t>
        </is>
      </c>
      <c r="B25" s="6" t="inlineStr">
        <is>
          <t>yokai-watch</t>
        </is>
      </c>
      <c r="C25" s="16" t="inlineStr">
        <is>
          <t>1分妖怪ファイル #12：👁️両面宿儺に隠された2つの秘密、君は古文書の正体を知ってる？【ショート】</t>
        </is>
      </c>
      <c r="D25" s="20" t="inlineStr">
        <is>
          <t>連番テンプレ</t>
        </is>
      </c>
      <c r="E25" s="6" t="n">
        <v>50</v>
      </c>
      <c r="F25" s="8" t="n">
        <v>1060</v>
      </c>
      <c r="G25" s="21" t="n">
        <v>28.6</v>
      </c>
      <c r="H25" s="7" t="n">
        <v>16</v>
      </c>
      <c r="I25" s="6" t="n">
        <v>4</v>
      </c>
      <c r="J25" s="6" t="n">
        <v>0</v>
      </c>
      <c r="K25" s="6" t="n">
        <v>0</v>
      </c>
    </row>
    <row r="26">
      <c r="A26" s="6" t="inlineStr">
        <is>
          <t>2026-08-25</t>
        </is>
      </c>
      <c r="B26" s="6" t="inlineStr">
        <is>
          <t>scp-lab</t>
        </is>
      </c>
      <c r="C26" s="16" t="inlineStr">
        <is>
          <t>なぜ航路の先で記録が消えるのか？SCP-1783-JPの本当の恐怖【ショート】</t>
        </is>
      </c>
      <c r="D26" s="6" t="inlineStr">
        <is>
          <t>自然文</t>
        </is>
      </c>
      <c r="E26" s="6" t="n">
        <v>39</v>
      </c>
      <c r="F26" s="8" t="n">
        <v>945</v>
      </c>
      <c r="G26" s="7" t="n">
        <v>32.8</v>
      </c>
      <c r="H26" s="7" t="n">
        <v>13</v>
      </c>
      <c r="I26" s="6" t="n">
        <v>0</v>
      </c>
      <c r="J26" s="6" t="n">
        <v>0</v>
      </c>
      <c r="K26" s="6" t="n">
        <v>0</v>
      </c>
    </row>
    <row r="27">
      <c r="A27" s="6" t="inlineStr">
        <is>
          <t>2026-08-25</t>
        </is>
      </c>
      <c r="B27" s="6" t="inlineStr">
        <is>
          <t>daily-science</t>
        </is>
      </c>
      <c r="C27" s="16" t="inlineStr">
        <is>
          <t>1分科学 #94：🧬なぜ甘い物のあと塩気が欲しい？あなたの舌で3分起きる感度の正体【ショート】</t>
        </is>
      </c>
      <c r="D27" s="20" t="inlineStr">
        <is>
          <t>連番テンプレ</t>
        </is>
      </c>
      <c r="E27" s="6" t="n">
        <v>47</v>
      </c>
      <c r="F27" s="8" t="n">
        <v>878</v>
      </c>
      <c r="G27" s="7" t="n">
        <v>31.7</v>
      </c>
      <c r="H27" s="7" t="n">
        <v>15</v>
      </c>
      <c r="I27" s="6" t="n">
        <v>7</v>
      </c>
      <c r="J27" s="6" t="n">
        <v>0</v>
      </c>
      <c r="K27" s="6" t="n">
        <v>1</v>
      </c>
    </row>
    <row r="28">
      <c r="A28" s="6" t="inlineStr">
        <is>
          <t>2026-08-25</t>
        </is>
      </c>
      <c r="B28" s="6" t="inlineStr">
        <is>
          <t>2ch-matome</t>
        </is>
      </c>
      <c r="C28" s="16" t="inlineStr">
        <is>
          <t>🤯ワイ、友達の家でヤバい物を3個見たんやがw🤯【ショート】</t>
        </is>
      </c>
      <c r="D28" s="6" t="inlineStr">
        <is>
          <t>自然文</t>
        </is>
      </c>
      <c r="E28" s="6" t="n">
        <v>29</v>
      </c>
      <c r="F28" s="8" t="n">
        <v>866</v>
      </c>
      <c r="G28" s="7" t="n">
        <v>39.2</v>
      </c>
      <c r="H28" s="7" t="n">
        <v>12</v>
      </c>
      <c r="I28" s="6" t="n">
        <v>2</v>
      </c>
      <c r="J28" s="6" t="n">
        <v>0</v>
      </c>
      <c r="K28" s="6" t="n">
        <v>0</v>
      </c>
    </row>
    <row r="29">
      <c r="A29" s="6" t="inlineStr">
        <is>
          <t>2026-08-25</t>
        </is>
      </c>
      <c r="B29" s="6" t="inlineStr">
        <is>
          <t>pokemon-lab</t>
        </is>
      </c>
      <c r="C29" s="16" t="inlineStr">
        <is>
          <t>1分ポケモン研究 #14：👀ロケット団に隠された3つの秘密、あなたは本当の目的を知ってる？【ショート】</t>
        </is>
      </c>
      <c r="D29" s="20" t="inlineStr">
        <is>
          <t>連番テンプレ</t>
        </is>
      </c>
      <c r="E29" s="6" t="n">
        <v>51</v>
      </c>
      <c r="F29" s="8" t="n">
        <v>853</v>
      </c>
      <c r="G29" s="7" t="n">
        <v>35.9</v>
      </c>
      <c r="H29" s="7" t="n">
        <v>18</v>
      </c>
      <c r="I29" s="6" t="n">
        <v>3</v>
      </c>
      <c r="J29" s="6" t="n">
        <v>0</v>
      </c>
      <c r="K29" s="6" t="n">
        <v>0</v>
      </c>
    </row>
    <row r="30">
      <c r="A30" s="6" t="inlineStr">
        <is>
          <t>2026-08-25</t>
        </is>
      </c>
      <c r="B30" s="6" t="inlineStr">
        <is>
          <t>yokai-watch</t>
        </is>
      </c>
      <c r="C30" s="16" t="inlineStr">
        <is>
          <t>1分妖怪ファイル #13：👁️妖怪ウォッチ元祖に隠された3つの秘密、あなたは名前の意味に気づいた？【ショート】</t>
        </is>
      </c>
      <c r="D30" s="20" t="inlineStr">
        <is>
          <t>連番テンプレ</t>
        </is>
      </c>
      <c r="E30" s="6" t="n">
        <v>55</v>
      </c>
      <c r="F30" s="8" t="n">
        <v>662</v>
      </c>
      <c r="G30" s="7" t="n">
        <v>41.6</v>
      </c>
      <c r="H30" s="7" t="n">
        <v>18</v>
      </c>
      <c r="I30" s="6" t="n">
        <v>0</v>
      </c>
      <c r="J30" s="6" t="n">
        <v>0</v>
      </c>
      <c r="K30" s="6" t="n">
        <v>0</v>
      </c>
    </row>
    <row r="31">
      <c r="A31" s="6" t="inlineStr">
        <is>
          <t>2026-08-25</t>
        </is>
      </c>
      <c r="B31" s="6" t="inlineStr">
        <is>
          <t>scp-lab</t>
        </is>
      </c>
      <c r="C31" s="16" t="inlineStr">
        <is>
          <t>太陽系の番人SCP-179が沈黙を恐れる理由【ショート】</t>
        </is>
      </c>
      <c r="D31" s="6" t="inlineStr">
        <is>
          <t>自然文</t>
        </is>
      </c>
      <c r="E31" s="6" t="n">
        <v>28</v>
      </c>
      <c r="F31" s="8" t="n">
        <v>269</v>
      </c>
      <c r="G31" s="22" t="n">
        <v>60.9</v>
      </c>
      <c r="H31" s="7" t="n">
        <v>21</v>
      </c>
      <c r="I31" s="6" t="n">
        <v>0</v>
      </c>
      <c r="J31" s="6" t="n">
        <v>0</v>
      </c>
      <c r="K31" s="6" t="n">
        <v>0</v>
      </c>
    </row>
    <row r="32">
      <c r="A32" s="6" t="inlineStr">
        <is>
          <t>2026-08-24</t>
        </is>
      </c>
      <c r="B32" s="6" t="inlineStr">
        <is>
          <t>2ch-matome</t>
        </is>
      </c>
      <c r="C32" s="16" t="inlineStr">
        <is>
          <t>味の素3粒、実は何に使うのか？意外すぎる活用法をあげてけｗ【ショート】</t>
        </is>
      </c>
      <c r="D32" s="6" t="inlineStr">
        <is>
          <t>自然文</t>
        </is>
      </c>
      <c r="E32" s="6" t="n">
        <v>35</v>
      </c>
      <c r="F32" s="8" t="n">
        <v>1161</v>
      </c>
      <c r="G32" s="21" t="n">
        <v>26.6</v>
      </c>
      <c r="H32" s="7" t="n">
        <v>11</v>
      </c>
      <c r="I32" s="6" t="n">
        <v>7</v>
      </c>
      <c r="J32" s="6" t="n">
        <v>0</v>
      </c>
      <c r="K32" s="6" t="n">
        <v>0</v>
      </c>
    </row>
    <row r="33">
      <c r="A33" s="6" t="inlineStr">
        <is>
          <t>2026-08-24</t>
        </is>
      </c>
      <c r="B33" s="6" t="inlineStr">
        <is>
          <t>scp-lab</t>
        </is>
      </c>
      <c r="C33" s="16" t="inlineStr">
        <is>
          <t>一口SCP #98：🫣SCP-1048「ビルダーベア」Safe判定が招いた収容違反の恐怖😱【ショート】</t>
        </is>
      </c>
      <c r="D33" s="20" t="inlineStr">
        <is>
          <t>連番テンプレ</t>
        </is>
      </c>
      <c r="E33" s="6" t="n">
        <v>51</v>
      </c>
      <c r="F33" s="8" t="n">
        <v>1008</v>
      </c>
      <c r="G33" s="21" t="n">
        <v>25.2</v>
      </c>
      <c r="H33" s="7" t="n">
        <v>12</v>
      </c>
      <c r="I33" s="6" t="n">
        <v>3</v>
      </c>
      <c r="J33" s="6" t="n">
        <v>0</v>
      </c>
      <c r="K33" s="6" t="n">
        <v>0</v>
      </c>
    </row>
    <row r="34">
      <c r="A34" s="6" t="inlineStr">
        <is>
          <t>2026-08-24</t>
        </is>
      </c>
      <c r="B34" s="6" t="inlineStr">
        <is>
          <t>pokemon-lab</t>
        </is>
      </c>
      <c r="C34" s="16" t="inlineStr">
        <is>
          <t>1分ポケモン研究 #13：👀グリーンに隠された3つの秘密、あなたは本当の役割に気づいた？【ショート】</t>
        </is>
      </c>
      <c r="D34" s="20" t="inlineStr">
        <is>
          <t>連番テンプレ</t>
        </is>
      </c>
      <c r="E34" s="6" t="n">
        <v>50</v>
      </c>
      <c r="F34" s="8" t="n">
        <v>1006</v>
      </c>
      <c r="G34" s="21" t="n">
        <v>25.9</v>
      </c>
      <c r="H34" s="7" t="n">
        <v>19</v>
      </c>
      <c r="I34" s="6" t="n">
        <v>1</v>
      </c>
      <c r="J34" s="6" t="n">
        <v>0</v>
      </c>
      <c r="K34" s="6" t="n">
        <v>1</v>
      </c>
    </row>
    <row r="35">
      <c r="A35" s="6" t="inlineStr">
        <is>
          <t>2026-08-24</t>
        </is>
      </c>
      <c r="B35" s="6" t="inlineStr">
        <is>
          <t>daily-science</t>
        </is>
      </c>
      <c r="C35" s="16" t="inlineStr">
        <is>
          <t>1分科学 #93：🔍なぜ満月の夜だけ夢を覚えている？月齢29.5日に隠れた睡眠の正体【ショート】</t>
        </is>
      </c>
      <c r="D35" s="20" t="inlineStr">
        <is>
          <t>連番テンプレ</t>
        </is>
      </c>
      <c r="E35" s="6" t="n">
        <v>48</v>
      </c>
      <c r="F35" s="8" t="n">
        <v>822</v>
      </c>
      <c r="G35" s="7" t="n">
        <v>33</v>
      </c>
      <c r="H35" s="7" t="n">
        <v>14</v>
      </c>
      <c r="I35" s="6" t="n">
        <v>6</v>
      </c>
      <c r="J35" s="6" t="n">
        <v>0</v>
      </c>
      <c r="K35" s="6" t="n">
        <v>1</v>
      </c>
    </row>
    <row r="36">
      <c r="A36" s="6" t="inlineStr">
        <is>
          <t>2026-08-23</t>
        </is>
      </c>
      <c r="B36" s="6" t="inlineStr">
        <is>
          <t>2ch-matome</t>
        </is>
      </c>
      <c r="C36" s="16" t="inlineStr">
        <is>
          <t>ワイ、GTA6妄想歴6年やけど質問ある？w💦【ショート】</t>
        </is>
      </c>
      <c r="D36" s="6" t="inlineStr">
        <is>
          <t>自然文</t>
        </is>
      </c>
      <c r="E36" s="6" t="n">
        <v>28</v>
      </c>
      <c r="F36" s="8" t="n">
        <v>1092</v>
      </c>
      <c r="G36" s="21" t="n">
        <v>23.2</v>
      </c>
      <c r="H36" s="7" t="n">
        <v>12</v>
      </c>
      <c r="I36" s="6" t="n">
        <v>0</v>
      </c>
      <c r="J36" s="6" t="n">
        <v>0</v>
      </c>
      <c r="K36" s="6" t="n">
        <v>0</v>
      </c>
    </row>
    <row r="37">
      <c r="A37" s="6" t="inlineStr">
        <is>
          <t>2026-08-23</t>
        </is>
      </c>
      <c r="B37" s="6" t="inlineStr">
        <is>
          <t>daily-science</t>
        </is>
      </c>
      <c r="C37" s="16" t="inlineStr">
        <is>
          <t>1分科学 #92：🌍なぜ目をこすると光が見える？あなたの網膜で起きる3秒の勘違い💡【ショート】</t>
        </is>
      </c>
      <c r="D37" s="20" t="inlineStr">
        <is>
          <t>連番テンプレ</t>
        </is>
      </c>
      <c r="E37" s="6" t="n">
        <v>47</v>
      </c>
      <c r="F37" s="8" t="n">
        <v>1087</v>
      </c>
      <c r="G37" s="7" t="n">
        <v>35.2</v>
      </c>
      <c r="H37" s="7" t="n">
        <v>17</v>
      </c>
      <c r="I37" s="6" t="n">
        <v>10</v>
      </c>
      <c r="J37" s="6" t="n">
        <v>0</v>
      </c>
      <c r="K37" s="6" t="n">
        <v>1</v>
      </c>
    </row>
    <row r="38">
      <c r="A38" s="6" t="inlineStr">
        <is>
          <t>2026-08-23</t>
        </is>
      </c>
      <c r="B38" s="6" t="inlineStr">
        <is>
          <t>scp-lab</t>
        </is>
      </c>
      <c r="C38" s="16" t="inlineStr">
        <is>
          <t>一口SCP #96：🫣SCP-507「不本意な次元旅行者」あなたの部屋にも戻るかもしれない恐怖【ショート】</t>
        </is>
      </c>
      <c r="D38" s="20" t="inlineStr">
        <is>
          <t>連番テンプレ</t>
        </is>
      </c>
      <c r="E38" s="6" t="n">
        <v>53</v>
      </c>
      <c r="F38" s="8" t="n">
        <v>1038</v>
      </c>
      <c r="G38" s="21" t="n">
        <v>23.8</v>
      </c>
      <c r="H38" s="7" t="n">
        <v>12</v>
      </c>
      <c r="I38" s="6" t="n">
        <v>3</v>
      </c>
      <c r="J38" s="6" t="n">
        <v>0</v>
      </c>
      <c r="K38" s="6" t="n">
        <v>1</v>
      </c>
    </row>
    <row r="39">
      <c r="A39" s="6" t="inlineStr">
        <is>
          <t>2026-08-23</t>
        </is>
      </c>
      <c r="B39" s="6" t="inlineStr">
        <is>
          <t>yokai-watch</t>
        </is>
      </c>
      <c r="C39" s="16" t="inlineStr">
        <is>
          <t>1分妖怪ファイル #11：🔍ぬらりひょんに隠された3つの秘密、あなたの知る総大将はいつ生まれた？【ショート】</t>
        </is>
      </c>
      <c r="D39" s="20" t="inlineStr">
        <is>
          <t>連番テンプレ</t>
        </is>
      </c>
      <c r="E39" s="6" t="n">
        <v>54</v>
      </c>
      <c r="F39" s="8" t="n">
        <v>136</v>
      </c>
      <c r="G39" s="21" t="n">
        <v>16.9</v>
      </c>
      <c r="H39" s="7" t="n">
        <v>11</v>
      </c>
      <c r="I39" s="6" t="n">
        <v>0</v>
      </c>
      <c r="J39" s="6" t="n">
        <v>0</v>
      </c>
      <c r="K39" s="6" t="n">
        <v>0</v>
      </c>
    </row>
    <row r="40">
      <c r="A40" s="6" t="inlineStr">
        <is>
          <t>2026-08-23</t>
        </is>
      </c>
      <c r="B40" s="6" t="inlineStr">
        <is>
          <t>scp-lab</t>
        </is>
      </c>
      <c r="C40" s="16" t="inlineStr">
        <is>
          <t>一口SCP #97：💀SCP-3002「情報災害」あなたの記憶まで消す報告書の恐怖【ショート】</t>
        </is>
      </c>
      <c r="D40" s="20" t="inlineStr">
        <is>
          <t>連番テンプレ</t>
        </is>
      </c>
      <c r="E40" s="6" t="n">
        <v>47</v>
      </c>
      <c r="F40" s="8" t="n">
        <v>74</v>
      </c>
      <c r="G40" s="21" t="n">
        <v>20.4</v>
      </c>
      <c r="H40" s="7" t="n">
        <v>11</v>
      </c>
      <c r="I40" s="6" t="n">
        <v>0</v>
      </c>
      <c r="J40" s="6" t="n">
        <v>0</v>
      </c>
      <c r="K40" s="6" t="n">
        <v>0</v>
      </c>
    </row>
    <row r="41">
      <c r="A41" s="6" t="inlineStr">
        <is>
          <t>2026-08-22</t>
        </is>
      </c>
      <c r="B41" s="6" t="inlineStr">
        <is>
          <t>fake-paper</t>
        </is>
      </c>
      <c r="C41" s="16" t="inlineStr">
        <is>
          <t>架空論文ファイル：エレベーターで見上げる人は、降りる階を間違えにくい #shorts #架空論文 #フィクション</t>
        </is>
      </c>
      <c r="D41" s="6" t="inlineStr">
        <is>
          <t>自然文</t>
        </is>
      </c>
      <c r="E41" s="6" t="n">
        <v>56</v>
      </c>
      <c r="F41" s="8" t="n">
        <v>1099</v>
      </c>
      <c r="G41" s="21" t="n">
        <v>25.5</v>
      </c>
      <c r="H41" s="7" t="n">
        <v>10</v>
      </c>
      <c r="I41" s="6" t="n">
        <v>1</v>
      </c>
      <c r="J41" s="6" t="n">
        <v>0</v>
      </c>
      <c r="K41" s="6" t="n">
        <v>0</v>
      </c>
    </row>
    <row r="42">
      <c r="A42" s="6" t="inlineStr">
        <is>
          <t>2026-08-22</t>
        </is>
      </c>
      <c r="B42" s="6" t="inlineStr">
        <is>
          <t>2ch-matome</t>
        </is>
      </c>
      <c r="C42" s="16" t="inlineStr">
        <is>
          <t>なぜ3秒でバレる？お前らをブラックラグーンで例えた結果【ショート】</t>
        </is>
      </c>
      <c r="D42" s="6" t="inlineStr">
        <is>
          <t>自然文</t>
        </is>
      </c>
      <c r="E42" s="6" t="n">
        <v>33</v>
      </c>
      <c r="F42" s="8" t="n">
        <v>1088</v>
      </c>
      <c r="G42" s="21" t="n">
        <v>28.9</v>
      </c>
      <c r="H42" s="7" t="n">
        <v>14</v>
      </c>
      <c r="I42" s="6" t="n">
        <v>1</v>
      </c>
      <c r="J42" s="6" t="n">
        <v>0</v>
      </c>
      <c r="K42" s="6" t="n">
        <v>0</v>
      </c>
    </row>
    <row r="43">
      <c r="A43" s="6" t="inlineStr">
        <is>
          <t>2026-08-22</t>
        </is>
      </c>
      <c r="B43" s="6" t="inlineStr">
        <is>
          <t>daily-science</t>
        </is>
      </c>
      <c r="C43" s="16" t="inlineStr">
        <is>
          <t>1分科学 #91：💯なぜ人混みであなたの名前だけ聞こえるのか？99%が知らない0.3秒の選別💯【ショート】</t>
        </is>
      </c>
      <c r="D43" s="20" t="inlineStr">
        <is>
          <t>連番テンプレ</t>
        </is>
      </c>
      <c r="E43" s="6" t="n">
        <v>53</v>
      </c>
      <c r="F43" s="8" t="n">
        <v>1042</v>
      </c>
      <c r="G43" s="21" t="n">
        <v>25.6</v>
      </c>
      <c r="H43" s="7" t="n">
        <v>14</v>
      </c>
      <c r="I43" s="6" t="n">
        <v>6</v>
      </c>
      <c r="J43" s="6" t="n">
        <v>0</v>
      </c>
      <c r="K43" s="6" t="n">
        <v>0</v>
      </c>
    </row>
    <row r="44">
      <c r="A44" s="6" t="inlineStr">
        <is>
          <t>2026-08-22</t>
        </is>
      </c>
      <c r="B44" s="6" t="inlineStr">
        <is>
          <t>pokemon-lab</t>
        </is>
      </c>
      <c r="C44" s="16" t="inlineStr">
        <is>
          <t>1分ポケモン研究 #12：💧サーナイトとエルレイド、君はなぜ2つの攻撃で迷う？【ショート】</t>
        </is>
      </c>
      <c r="D44" s="20" t="inlineStr">
        <is>
          <t>連番テンプレ</t>
        </is>
      </c>
      <c r="E44" s="6" t="n">
        <v>45</v>
      </c>
      <c r="F44" s="8" t="n">
        <v>711</v>
      </c>
      <c r="G44" s="21" t="n">
        <v>25.7</v>
      </c>
      <c r="H44" s="7" t="n">
        <v>17</v>
      </c>
      <c r="I44" s="6" t="n">
        <v>0</v>
      </c>
      <c r="J44" s="6" t="n">
        <v>0</v>
      </c>
      <c r="K44" s="6" t="n">
        <v>0</v>
      </c>
    </row>
    <row r="45">
      <c r="A45" s="6" t="inlineStr">
        <is>
          <t>2026-08-22</t>
        </is>
      </c>
      <c r="B45" s="6" t="inlineStr">
        <is>
          <t>scp-lab</t>
        </is>
      </c>
      <c r="C45" s="16" t="inlineStr">
        <is>
          <t>一口SCP #94：🔒SCP-2306「実在しない部屋」— 図面に無い1室、調査員4名の記録だけが残った⚠️【ショート】</t>
        </is>
      </c>
      <c r="D45" s="20" t="inlineStr">
        <is>
          <t>連番テンプレ</t>
        </is>
      </c>
      <c r="E45" s="6" t="n">
        <v>60</v>
      </c>
      <c r="F45" s="8" t="n">
        <v>397</v>
      </c>
      <c r="G45" s="21" t="n">
        <v>26.8</v>
      </c>
      <c r="H45" s="7" t="n">
        <v>14</v>
      </c>
      <c r="I45" s="6" t="n">
        <v>3</v>
      </c>
      <c r="J45" s="6" t="n">
        <v>0</v>
      </c>
      <c r="K45" s="6" t="n">
        <v>0</v>
      </c>
    </row>
    <row r="46">
      <c r="A46" s="6" t="inlineStr">
        <is>
          <t>2026-08-22</t>
        </is>
      </c>
      <c r="B46" s="6" t="inlineStr">
        <is>
          <t>yokai-watch</t>
        </is>
      </c>
      <c r="C46" s="16" t="inlineStr">
        <is>
          <t>なぜ猫又の尻尾は2つ？実は老猫を恐れた江戸の記録が怖い【ショート】</t>
        </is>
      </c>
      <c r="D46" s="6" t="inlineStr">
        <is>
          <t>自然文</t>
        </is>
      </c>
      <c r="E46" s="6" t="n">
        <v>33</v>
      </c>
      <c r="F46" s="8" t="n">
        <v>363</v>
      </c>
      <c r="G46" s="7" t="n">
        <v>34.5</v>
      </c>
      <c r="H46" s="7" t="n">
        <v>20</v>
      </c>
      <c r="I46" s="6" t="n">
        <v>3</v>
      </c>
      <c r="J46" s="6" t="n">
        <v>0</v>
      </c>
      <c r="K46" s="6" t="n">
        <v>0</v>
      </c>
    </row>
    <row r="47">
      <c r="A47" s="6" t="inlineStr">
        <is>
          <t>2026-08-22</t>
        </is>
      </c>
      <c r="B47" s="6" t="inlineStr">
        <is>
          <t>scp-lab</t>
        </is>
      </c>
      <c r="C47" s="16" t="inlineStr">
        <is>
          <t>実は完治後に4人が戻れなかった本当の理由とは？【ショート】</t>
        </is>
      </c>
      <c r="D47" s="6" t="inlineStr">
        <is>
          <t>自然文</t>
        </is>
      </c>
      <c r="E47" s="6" t="n">
        <v>29</v>
      </c>
      <c r="F47" s="8" t="n">
        <v>178</v>
      </c>
      <c r="G47" s="21" t="n">
        <v>25.8</v>
      </c>
      <c r="H47" s="7" t="n">
        <v>14</v>
      </c>
      <c r="I47" s="6" t="n">
        <v>0</v>
      </c>
      <c r="J47" s="6" t="n">
        <v>0</v>
      </c>
      <c r="K47" s="6" t="n">
        <v>1</v>
      </c>
    </row>
    <row r="48">
      <c r="A48" s="6" t="inlineStr">
        <is>
          <t>2026-08-21</t>
        </is>
      </c>
      <c r="B48" s="6" t="inlineStr">
        <is>
          <t>pokemon-lab</t>
        </is>
      </c>
      <c r="C48" s="16" t="inlineStr">
        <is>
          <t>1分ポケモン研究 #11：🔥ドラパルトとガブリアス、君は3秒で速さの壁を越えられる？【ショート】</t>
        </is>
      </c>
      <c r="D48" s="20" t="inlineStr">
        <is>
          <t>連番テンプレ</t>
        </is>
      </c>
      <c r="E48" s="6" t="n">
        <v>48</v>
      </c>
      <c r="F48" s="8" t="n">
        <v>1051</v>
      </c>
      <c r="G48" s="21" t="n">
        <v>26.7</v>
      </c>
      <c r="H48" s="7" t="n">
        <v>17</v>
      </c>
      <c r="I48" s="6" t="n">
        <v>4</v>
      </c>
      <c r="J48" s="6" t="n">
        <v>0</v>
      </c>
      <c r="K48" s="6" t="n">
        <v>2</v>
      </c>
    </row>
    <row r="49">
      <c r="A49" s="6" t="inlineStr">
        <is>
          <t>2026-08-21</t>
        </is>
      </c>
      <c r="B49" s="6" t="inlineStr">
        <is>
          <t>pokemon-lab</t>
        </is>
      </c>
      <c r="C49" s="16" t="inlineStr">
        <is>
          <t>1分ポケモン研究 #10：🔥あなたの飲み物を6時間守るポケモン、なぜ存在する？【ショート】</t>
        </is>
      </c>
      <c r="D49" s="20" t="inlineStr">
        <is>
          <t>連番テンプレ</t>
        </is>
      </c>
      <c r="E49" s="6" t="n">
        <v>45</v>
      </c>
      <c r="F49" s="8" t="n">
        <v>1017</v>
      </c>
      <c r="G49" s="21" t="n">
        <v>23.5</v>
      </c>
      <c r="H49" s="7" t="n">
        <v>14</v>
      </c>
      <c r="I49" s="6" t="n">
        <v>3</v>
      </c>
      <c r="J49" s="6" t="n">
        <v>0</v>
      </c>
      <c r="K49" s="6" t="n">
        <v>0</v>
      </c>
    </row>
    <row r="50">
      <c r="A50" s="6" t="inlineStr">
        <is>
          <t>2026-08-21</t>
        </is>
      </c>
      <c r="B50" s="6" t="inlineStr">
        <is>
          <t>2ch-matome</t>
        </is>
      </c>
      <c r="C50" s="16" t="inlineStr">
        <is>
          <t>3秒で考えろ！この戦闘機の名前が親戚回避型な理由とは？【ショート】</t>
        </is>
      </c>
      <c r="D50" s="6" t="inlineStr">
        <is>
          <t>自然文</t>
        </is>
      </c>
      <c r="E50" s="6" t="n">
        <v>33</v>
      </c>
      <c r="F50" s="8" t="n">
        <v>997</v>
      </c>
      <c r="G50" s="7" t="n">
        <v>32.6</v>
      </c>
      <c r="H50" s="7" t="n">
        <v>13</v>
      </c>
      <c r="I50" s="6" t="n">
        <v>5</v>
      </c>
      <c r="J50" s="6" t="n">
        <v>0</v>
      </c>
      <c r="K50" s="6" t="n">
        <v>0</v>
      </c>
    </row>
    <row r="51">
      <c r="A51" s="6" t="inlineStr">
        <is>
          <t>2026-08-21</t>
        </is>
      </c>
      <c r="B51" s="6" t="inlineStr">
        <is>
          <t>daily-science</t>
        </is>
      </c>
      <c r="C51" s="16" t="inlineStr">
        <is>
          <t>1分科学 #89：💯なぜあなたは寝る直前だけ昔の失敗を思い出すのか？99%が知らない30秒の脳内変化【ショート】</t>
        </is>
      </c>
      <c r="D51" s="20" t="inlineStr">
        <is>
          <t>連番テンプレ</t>
        </is>
      </c>
      <c r="E51" s="6" t="n">
        <v>56</v>
      </c>
      <c r="F51" s="8" t="n">
        <v>981</v>
      </c>
      <c r="G51" s="7" t="n">
        <v>30.3</v>
      </c>
      <c r="H51" s="7" t="n">
        <v>17</v>
      </c>
      <c r="I51" s="6" t="n">
        <v>7</v>
      </c>
      <c r="J51" s="6" t="n">
        <v>0</v>
      </c>
      <c r="K51" s="6" t="n">
        <v>0</v>
      </c>
    </row>
    <row r="52">
      <c r="A52" s="6" t="inlineStr">
        <is>
          <t>2026-08-21</t>
        </is>
      </c>
      <c r="B52" s="6" t="inlineStr">
        <is>
          <t>2ch-matome</t>
        </is>
      </c>
      <c r="C52" s="16" t="inlineStr">
        <is>
          <t>なぜ熱闘甲子園の夜だけ空気が変わる？お前らの夏の思い出5つ聞かせろ【ショート】</t>
        </is>
      </c>
      <c r="D52" s="6" t="inlineStr">
        <is>
          <t>自然文</t>
        </is>
      </c>
      <c r="E52" s="6" t="n">
        <v>39</v>
      </c>
      <c r="F52" s="8" t="n">
        <v>967</v>
      </c>
      <c r="G52" s="7" t="n">
        <v>30.3</v>
      </c>
      <c r="H52" s="7" t="n">
        <v>16</v>
      </c>
      <c r="I52" s="6" t="n">
        <v>5</v>
      </c>
      <c r="J52" s="6" t="n">
        <v>0</v>
      </c>
      <c r="K52" s="6" t="n">
        <v>0</v>
      </c>
    </row>
    <row r="53">
      <c r="A53" s="6" t="inlineStr">
        <is>
          <t>2026-08-21</t>
        </is>
      </c>
      <c r="B53" s="6" t="inlineStr">
        <is>
          <t>scp-lab</t>
        </is>
      </c>
      <c r="C53" s="16" t="inlineStr">
        <is>
          <t>一口SCP #92：👁️SCP-3120「異常な戦闘機」— 試験飛行9回、操縦席から帰還した隊員は1名だった【ショート】</t>
        </is>
      </c>
      <c r="D53" s="20" t="inlineStr">
        <is>
          <t>連番テンプレ</t>
        </is>
      </c>
      <c r="E53" s="6" t="n">
        <v>60</v>
      </c>
      <c r="F53" s="8" t="n">
        <v>957</v>
      </c>
      <c r="G53" s="21" t="n">
        <v>27.4</v>
      </c>
      <c r="H53" s="7" t="n">
        <v>16</v>
      </c>
      <c r="I53" s="6" t="n">
        <v>5</v>
      </c>
      <c r="J53" s="6" t="n">
        <v>0</v>
      </c>
      <c r="K53" s="6" t="n">
        <v>0</v>
      </c>
    </row>
    <row r="54">
      <c r="A54" s="6" t="inlineStr">
        <is>
          <t>2026-08-21</t>
        </is>
      </c>
      <c r="B54" s="6" t="inlineStr">
        <is>
          <t>2ch-matome</t>
        </is>
      </c>
      <c r="C54" s="16" t="inlineStr">
        <is>
          <t>ワイ、サーモス歴3年やけど質問ある？w😏【ショート】</t>
        </is>
      </c>
      <c r="D54" s="6" t="inlineStr">
        <is>
          <t>自然文</t>
        </is>
      </c>
      <c r="E54" s="6" t="n">
        <v>26</v>
      </c>
      <c r="F54" s="8" t="n">
        <v>950</v>
      </c>
      <c r="G54" s="7" t="n">
        <v>36.6</v>
      </c>
      <c r="H54" s="7" t="n">
        <v>15</v>
      </c>
      <c r="I54" s="6" t="n">
        <v>3</v>
      </c>
      <c r="J54" s="6" t="n">
        <v>0</v>
      </c>
      <c r="K54" s="6" t="n">
        <v>0</v>
      </c>
    </row>
    <row r="55">
      <c r="A55" s="6" t="inlineStr">
        <is>
          <t>2026-08-21</t>
        </is>
      </c>
      <c r="B55" s="6" t="inlineStr">
        <is>
          <t>yokai-watch</t>
        </is>
      </c>
      <c r="C55" s="16" t="inlineStr">
        <is>
          <t>3秒で消える？天狗と山伏、神隠しの本当の理由【ショート】</t>
        </is>
      </c>
      <c r="D55" s="6" t="inlineStr">
        <is>
          <t>自然文</t>
        </is>
      </c>
      <c r="E55" s="6" t="n">
        <v>28</v>
      </c>
      <c r="F55" s="8" t="n">
        <v>637</v>
      </c>
      <c r="G55" s="21" t="n">
        <v>29.8</v>
      </c>
      <c r="H55" s="7" t="n">
        <v>16</v>
      </c>
      <c r="I55" s="6" t="n">
        <v>2</v>
      </c>
      <c r="J55" s="6" t="n">
        <v>0</v>
      </c>
      <c r="K55" s="6" t="n">
        <v>0</v>
      </c>
    </row>
    <row r="56">
      <c r="A56" s="6" t="inlineStr">
        <is>
          <t>2026-08-21</t>
        </is>
      </c>
      <c r="B56" s="6" t="inlineStr">
        <is>
          <t>daily-science</t>
        </is>
      </c>
      <c r="C56" s="16" t="inlineStr">
        <is>
          <t>1分科学 #90：💯なぜあなたの舌はやけど後だけ味が消える？99%が知らない10日の入れ替わり【ショート】</t>
        </is>
      </c>
      <c r="D56" s="20" t="inlineStr">
        <is>
          <t>連番テンプレ</t>
        </is>
      </c>
      <c r="E56" s="6" t="n">
        <v>53</v>
      </c>
      <c r="F56" s="8" t="n">
        <v>481</v>
      </c>
      <c r="G56" s="21" t="n">
        <v>29.5</v>
      </c>
      <c r="H56" s="7" t="n">
        <v>16</v>
      </c>
      <c r="I56" s="6" t="n">
        <v>1</v>
      </c>
      <c r="J56" s="6" t="n">
        <v>0</v>
      </c>
      <c r="K56" s="6" t="n">
        <v>0</v>
      </c>
    </row>
    <row r="57">
      <c r="A57" s="6" t="inlineStr">
        <is>
          <t>2026-08-21</t>
        </is>
      </c>
      <c r="B57" s="6" t="inlineStr">
        <is>
          <t>yokai-watch</t>
        </is>
      </c>
      <c r="C57" s="16" t="inlineStr">
        <is>
          <t>雪女が3日黙れと言う…実は誰にも言えない恐怖があった【ショート】</t>
        </is>
      </c>
      <c r="D57" s="6" t="inlineStr">
        <is>
          <t>自然文</t>
        </is>
      </c>
      <c r="E57" s="6" t="n">
        <v>32</v>
      </c>
      <c r="F57" s="8" t="n">
        <v>260</v>
      </c>
      <c r="G57" s="21" t="n">
        <v>24.2</v>
      </c>
      <c r="H57" s="7" t="n">
        <v>13</v>
      </c>
      <c r="I57" s="6" t="n">
        <v>0</v>
      </c>
      <c r="J57" s="6" t="n">
        <v>0</v>
      </c>
      <c r="K57" s="6" t="n">
        <v>0</v>
      </c>
    </row>
    <row r="58">
      <c r="A58" s="6" t="inlineStr">
        <is>
          <t>2026-08-21</t>
        </is>
      </c>
      <c r="B58" s="6" t="inlineStr">
        <is>
          <t>scp-lab</t>
        </is>
      </c>
      <c r="C58" s="16" t="inlineStr">
        <is>
          <t>一口SCP #93：⚠️SCP-1689「黒いジャガイモ」— 摂取実験8件、帰還率0%だった【ショート】</t>
        </is>
      </c>
      <c r="D58" s="20" t="inlineStr">
        <is>
          <t>連番テンプレ</t>
        </is>
      </c>
      <c r="E58" s="6" t="n">
        <v>52</v>
      </c>
      <c r="F58" s="8" t="n">
        <v>62</v>
      </c>
      <c r="G58" s="21" t="n">
        <v>26.4</v>
      </c>
      <c r="H58" s="7" t="n">
        <v>14</v>
      </c>
      <c r="I58" s="6" t="n">
        <v>0</v>
      </c>
      <c r="J58" s="6" t="n">
        <v>0</v>
      </c>
      <c r="K58" s="6" t="n">
        <v>0</v>
      </c>
    </row>
    <row r="59">
      <c r="A59" s="6" t="inlineStr">
        <is>
          <t>2026-08-20</t>
        </is>
      </c>
      <c r="B59" s="6" t="inlineStr">
        <is>
          <t>pokemon-lab</t>
        </is>
      </c>
      <c r="C59" s="16" t="inlineStr">
        <is>
          <t>1分ポケモン研究 #9：🎮カイオーガとグラードン、天候を2回張ったらどっちが勝つ？【ショート】</t>
        </is>
      </c>
      <c r="D59" s="20" t="inlineStr">
        <is>
          <t>連番テンプレ</t>
        </is>
      </c>
      <c r="E59" s="6" t="n">
        <v>47</v>
      </c>
      <c r="F59" s="8" t="n">
        <v>1075</v>
      </c>
      <c r="G59" s="21" t="n">
        <v>27.5</v>
      </c>
      <c r="H59" s="7" t="n">
        <v>19</v>
      </c>
      <c r="I59" s="6" t="n">
        <v>1</v>
      </c>
      <c r="J59" s="6" t="n">
        <v>1</v>
      </c>
      <c r="K59" s="6" t="n">
        <v>0</v>
      </c>
    </row>
    <row r="60">
      <c r="A60" s="6" t="inlineStr">
        <is>
          <t>2026-08-20</t>
        </is>
      </c>
      <c r="B60" s="6" t="inlineStr">
        <is>
          <t>daily-science</t>
        </is>
      </c>
      <c r="C60" s="16" t="inlineStr">
        <is>
          <t>1分科学 #88：📈なぜあなたは最後の1段だけ踏み外す？99%が知らない0.3秒のズレ📊【ショート】</t>
        </is>
      </c>
      <c r="D60" s="20" t="inlineStr">
        <is>
          <t>連番テンプレ</t>
        </is>
      </c>
      <c r="E60" s="6" t="n">
        <v>50</v>
      </c>
      <c r="F60" s="8" t="n">
        <v>1009</v>
      </c>
      <c r="G60" s="7" t="n">
        <v>35.5</v>
      </c>
      <c r="H60" s="7" t="n">
        <v>17</v>
      </c>
      <c r="I60" s="6" t="n">
        <v>8</v>
      </c>
      <c r="J60" s="6" t="n">
        <v>0</v>
      </c>
      <c r="K60" s="6" t="n">
        <v>1</v>
      </c>
    </row>
    <row r="61">
      <c r="A61" s="6" t="inlineStr">
        <is>
          <t>2026-08-20</t>
        </is>
      </c>
      <c r="B61" s="6" t="inlineStr">
        <is>
          <t>2ch-matome</t>
        </is>
      </c>
      <c r="C61" s="16" t="inlineStr">
        <is>
          <t>ちいかわチョコサプ、なぜ中身が攻めすぎなのか？3秒予想してみたら草【ショート】</t>
        </is>
      </c>
      <c r="D61" s="6" t="inlineStr">
        <is>
          <t>自然文</t>
        </is>
      </c>
      <c r="E61" s="6" t="n">
        <v>39</v>
      </c>
      <c r="F61" s="8" t="n">
        <v>820</v>
      </c>
      <c r="G61" s="7" t="n">
        <v>32.1</v>
      </c>
      <c r="H61" s="7" t="n">
        <v>14</v>
      </c>
      <c r="I61" s="6" t="n">
        <v>1</v>
      </c>
      <c r="J61" s="6" t="n">
        <v>0</v>
      </c>
      <c r="K61" s="6" t="n">
        <v>1</v>
      </c>
    </row>
    <row r="62">
      <c r="A62" s="6" t="inlineStr">
        <is>
          <t>2026-08-20</t>
        </is>
      </c>
      <c r="B62" s="6" t="inlineStr">
        <is>
          <t>2ch-matome</t>
        </is>
      </c>
      <c r="C62" s="16" t="inlineStr">
        <is>
          <t>ワイ、アジア大会珍プレー歴0年やけど質問ある？w🤣【ショート】</t>
        </is>
      </c>
      <c r="D62" s="6" t="inlineStr">
        <is>
          <t>自然文</t>
        </is>
      </c>
      <c r="E62" s="6" t="n">
        <v>31</v>
      </c>
      <c r="F62" s="8" t="n">
        <v>587</v>
      </c>
      <c r="G62" s="21" t="n">
        <v>24.7</v>
      </c>
      <c r="H62" s="7" t="n">
        <v>12</v>
      </c>
      <c r="I62" s="6" t="n">
        <v>1</v>
      </c>
      <c r="J62" s="6" t="n">
        <v>0</v>
      </c>
      <c r="K62" s="6" t="n">
        <v>0</v>
      </c>
    </row>
    <row r="63">
      <c r="A63" s="6" t="inlineStr">
        <is>
          <t>2026-08-20</t>
        </is>
      </c>
      <c r="B63" s="6" t="inlineStr">
        <is>
          <t>yokai-watch</t>
        </is>
      </c>
      <c r="C63" s="16" t="inlineStr">
        <is>
          <t>1分妖怪ファイル #7：😰かまいたちの元ネタが怖すぎる — あなたが3秒で傷つく理由は？【ショート】</t>
        </is>
      </c>
      <c r="D63" s="20" t="inlineStr">
        <is>
          <t>連番テンプレ</t>
        </is>
      </c>
      <c r="E63" s="6" t="n">
        <v>50</v>
      </c>
      <c r="F63" s="8" t="n">
        <v>370</v>
      </c>
      <c r="G63" s="7" t="n">
        <v>39.5</v>
      </c>
      <c r="H63" s="7" t="n">
        <v>24</v>
      </c>
      <c r="I63" s="6" t="n">
        <v>4</v>
      </c>
      <c r="J63" s="6" t="n">
        <v>0</v>
      </c>
      <c r="K63" s="6" t="n">
        <v>0</v>
      </c>
    </row>
    <row r="64">
      <c r="A64" s="6" t="inlineStr">
        <is>
          <t>2026-08-20</t>
        </is>
      </c>
      <c r="B64" s="6" t="inlineStr">
        <is>
          <t>scp-lab</t>
        </is>
      </c>
      <c r="C64" s="16" t="inlineStr">
        <is>
          <t>一口SCP #91：⚠️SCP-1523-JP「かまいたち」— 被害記録17件、傷だけ残った夜【ショート】</t>
        </is>
      </c>
      <c r="D64" s="20" t="inlineStr">
        <is>
          <t>連番テンプレ</t>
        </is>
      </c>
      <c r="E64" s="6" t="n">
        <v>53</v>
      </c>
      <c r="F64" s="8" t="n">
        <v>73</v>
      </c>
      <c r="G64" s="21" t="n">
        <v>22.3</v>
      </c>
      <c r="H64" s="7" t="n">
        <v>12</v>
      </c>
      <c r="I64" s="6" t="n">
        <v>0</v>
      </c>
      <c r="J64" s="6" t="n">
        <v>0</v>
      </c>
      <c r="K64" s="6" t="n">
        <v>0</v>
      </c>
    </row>
    <row r="65">
      <c r="A65" s="6" t="inlineStr">
        <is>
          <t>2026-08-19</t>
        </is>
      </c>
      <c r="B65" s="6" t="inlineStr">
        <is>
          <t>2ch-matome</t>
        </is>
      </c>
      <c r="C65" s="16" t="inlineStr">
        <is>
          <t>PCパーツ到着時、なぜ箱だけ先に届くのか？【ショート】</t>
        </is>
      </c>
      <c r="D65" s="6" t="inlineStr">
        <is>
          <t>自然文</t>
        </is>
      </c>
      <c r="E65" s="6" t="n">
        <v>27</v>
      </c>
      <c r="F65" s="8" t="n">
        <v>1809</v>
      </c>
      <c r="G65" s="7" t="n">
        <v>42.2</v>
      </c>
      <c r="H65" s="7" t="n">
        <v>13</v>
      </c>
      <c r="I65" s="6" t="n">
        <v>4</v>
      </c>
      <c r="J65" s="6" t="n">
        <v>1</v>
      </c>
      <c r="K65" s="6" t="n">
        <v>0</v>
      </c>
    </row>
    <row r="66">
      <c r="A66" s="6" t="inlineStr">
        <is>
          <t>2026-08-19</t>
        </is>
      </c>
      <c r="B66" s="6" t="inlineStr">
        <is>
          <t>pokemon-lab</t>
        </is>
      </c>
      <c r="C66" s="16" t="inlineStr">
        <is>
          <t>ガブリアスとボーマンダ、素早さ1でどっちが勝つ？君は気づけるか【ショート】</t>
        </is>
      </c>
      <c r="D66" s="6" t="inlineStr">
        <is>
          <t>自然文</t>
        </is>
      </c>
      <c r="E66" s="6" t="n">
        <v>37</v>
      </c>
      <c r="F66" s="8" t="n">
        <v>1308</v>
      </c>
      <c r="G66" s="7" t="n">
        <v>39.2</v>
      </c>
      <c r="H66" s="7" t="n">
        <v>19</v>
      </c>
      <c r="I66" s="6" t="n">
        <v>1</v>
      </c>
      <c r="J66" s="6" t="n">
        <v>2</v>
      </c>
      <c r="K66" s="6" t="n">
        <v>0</v>
      </c>
    </row>
    <row r="67">
      <c r="A67" s="6" t="inlineStr">
        <is>
          <t>2026-08-19</t>
        </is>
      </c>
      <c r="B67" s="6" t="inlineStr">
        <is>
          <t>yokai-watch</t>
        </is>
      </c>
      <c r="C67" s="16" t="inlineStr">
        <is>
          <t>ぬらりひょんの正体が怖すぎる — なぜあなたの家に勝手に上がるのか【ショート】</t>
        </is>
      </c>
      <c r="D67" s="6" t="inlineStr">
        <is>
          <t>自然文</t>
        </is>
      </c>
      <c r="E67" s="6" t="n">
        <v>39</v>
      </c>
      <c r="F67" s="8" t="n">
        <v>1114</v>
      </c>
      <c r="G67" s="7" t="n">
        <v>42.9</v>
      </c>
      <c r="H67" s="7" t="n">
        <v>19</v>
      </c>
      <c r="I67" s="6" t="n">
        <v>6</v>
      </c>
      <c r="J67" s="6" t="n">
        <v>0</v>
      </c>
      <c r="K67" s="6" t="n">
        <v>1</v>
      </c>
    </row>
    <row r="68">
      <c r="A68" s="6" t="inlineStr">
        <is>
          <t>2026-08-19</t>
        </is>
      </c>
      <c r="B68" s="6" t="inlineStr">
        <is>
          <t>daily-science</t>
        </is>
      </c>
      <c r="C68" s="16" t="inlineStr">
        <is>
          <t>なぜ正座を崩した瞬間だけビリビリするのか？99%が知らない30秒の正体【ショート】</t>
        </is>
      </c>
      <c r="D68" s="6" t="inlineStr">
        <is>
          <t>自然文</t>
        </is>
      </c>
      <c r="E68" s="6" t="n">
        <v>41</v>
      </c>
      <c r="F68" s="8" t="n">
        <v>1039</v>
      </c>
      <c r="G68" s="21" t="n">
        <v>29.8</v>
      </c>
      <c r="H68" s="7" t="n">
        <v>11</v>
      </c>
      <c r="I68" s="6" t="n">
        <v>3</v>
      </c>
      <c r="J68" s="6" t="n">
        <v>0</v>
      </c>
      <c r="K68" s="6" t="n">
        <v>0</v>
      </c>
    </row>
    <row r="69">
      <c r="A69" s="6" t="inlineStr">
        <is>
          <t>2026-08-19</t>
        </is>
      </c>
      <c r="B69" s="6" t="inlineStr">
        <is>
          <t>scp-lab</t>
        </is>
      </c>
      <c r="C69" s="16" t="inlineStr">
        <is>
          <t>触れた全員が笑う粘体、なぜSafeなのか？【ショート】</t>
        </is>
      </c>
      <c r="D69" s="6" t="inlineStr">
        <is>
          <t>自然文</t>
        </is>
      </c>
      <c r="E69" s="6" t="n">
        <v>27</v>
      </c>
      <c r="F69" s="8" t="n">
        <v>642</v>
      </c>
      <c r="G69" s="22" t="n">
        <v>50.1</v>
      </c>
      <c r="H69" s="7" t="n">
        <v>20</v>
      </c>
      <c r="I69" s="6" t="n">
        <v>4</v>
      </c>
      <c r="J69" s="6" t="n">
        <v>0</v>
      </c>
      <c r="K69" s="6" t="n">
        <v>1</v>
      </c>
    </row>
    <row r="70">
      <c r="A70" s="6" t="inlineStr">
        <is>
          <t>2026-08-19</t>
        </is>
      </c>
      <c r="B70" s="6" t="inlineStr">
        <is>
          <t>2ch-matome</t>
        </is>
      </c>
      <c r="C70" s="16" t="inlineStr">
        <is>
          <t>なぜケンタッキー月見は3秒で秋の給料日になるのか、食べた感想あげてけw【ショート】</t>
        </is>
      </c>
      <c r="D70" s="6" t="inlineStr">
        <is>
          <t>自然文</t>
        </is>
      </c>
      <c r="E70" s="6" t="n">
        <v>41</v>
      </c>
      <c r="F70" s="8" t="n">
        <v>249</v>
      </c>
      <c r="G70" s="7" t="n">
        <v>34.9</v>
      </c>
      <c r="H70" s="7" t="n">
        <v>11</v>
      </c>
      <c r="I70" s="6" t="n">
        <v>0</v>
      </c>
      <c r="J70" s="6" t="n">
        <v>0</v>
      </c>
      <c r="K70" s="6" t="n">
        <v>0</v>
      </c>
    </row>
    <row r="71">
      <c r="A71" s="6" t="inlineStr">
        <is>
          <t>2026-08-18</t>
        </is>
      </c>
      <c r="B71" s="6" t="inlineStr">
        <is>
          <t>yokai-watch</t>
        </is>
      </c>
      <c r="C71" s="16" t="inlineStr">
        <is>
          <t>海坊主の正体が怖すぎる — 船を沈める巨大な影は何だったのか【ショート】</t>
        </is>
      </c>
      <c r="D71" s="6" t="inlineStr">
        <is>
          <t>自然文</t>
        </is>
      </c>
      <c r="E71" s="6" t="n">
        <v>36</v>
      </c>
      <c r="F71" s="8" t="n">
        <v>1906</v>
      </c>
      <c r="G71" s="22" t="n">
        <v>57.6</v>
      </c>
      <c r="H71" s="7" t="n">
        <v>19</v>
      </c>
      <c r="I71" s="6" t="n">
        <v>7</v>
      </c>
      <c r="J71" s="6" t="n">
        <v>0</v>
      </c>
      <c r="K71" s="6" t="n">
        <v>1</v>
      </c>
    </row>
    <row r="72">
      <c r="A72" s="6" t="inlineStr">
        <is>
          <t>2026-08-18</t>
        </is>
      </c>
      <c r="B72" s="6" t="inlineStr">
        <is>
          <t>pokemon-lab</t>
        </is>
      </c>
      <c r="C72" s="16" t="inlineStr">
        <is>
          <t>リザードンとカイリュー、どっちが勝つ？4倍弱点で勝敗がひっくり返る【ショート】</t>
        </is>
      </c>
      <c r="D72" s="6" t="inlineStr">
        <is>
          <t>自然文</t>
        </is>
      </c>
      <c r="E72" s="6" t="n">
        <v>39</v>
      </c>
      <c r="F72" s="8" t="n">
        <v>1632</v>
      </c>
      <c r="G72" s="22" t="n">
        <v>70.90000000000001</v>
      </c>
      <c r="H72" s="7" t="n">
        <v>19</v>
      </c>
      <c r="I72" s="6" t="n">
        <v>5</v>
      </c>
      <c r="J72" s="6" t="n">
        <v>0</v>
      </c>
      <c r="K72" s="6" t="n">
        <v>0</v>
      </c>
    </row>
    <row r="73">
      <c r="A73" s="6" t="inlineStr">
        <is>
          <t>2026-08-18</t>
        </is>
      </c>
      <c r="B73" s="6" t="inlineStr">
        <is>
          <t>2ch-matome</t>
        </is>
      </c>
      <c r="C73" s="16" t="inlineStr">
        <is>
          <t>存在しないゲームの迷惑機能あげてけw【ショート】</t>
        </is>
      </c>
      <c r="D73" s="6" t="inlineStr">
        <is>
          <t>自然文</t>
        </is>
      </c>
      <c r="E73" s="6" t="n">
        <v>24</v>
      </c>
      <c r="F73" s="8" t="n">
        <v>1144</v>
      </c>
      <c r="G73" s="22" t="n">
        <v>51.4</v>
      </c>
      <c r="H73" s="7" t="n">
        <v>11</v>
      </c>
      <c r="I73" s="6" t="n">
        <v>2</v>
      </c>
      <c r="J73" s="6" t="n">
        <v>0</v>
      </c>
      <c r="K73" s="6" t="n">
        <v>0</v>
      </c>
    </row>
    <row r="74">
      <c r="A74" s="6" t="inlineStr">
        <is>
          <t>2026-08-18</t>
        </is>
      </c>
      <c r="B74" s="6" t="inlineStr">
        <is>
          <t>daily-science</t>
        </is>
      </c>
      <c r="C74" s="16" t="inlineStr">
        <is>
          <t>なぜ夢の続きを見た気がするのか？99%が知らない目覚め後5分の記憶再構成【ショート】</t>
        </is>
      </c>
      <c r="D74" s="6" t="inlineStr">
        <is>
          <t>自然文</t>
        </is>
      </c>
      <c r="E74" s="6" t="n">
        <v>42</v>
      </c>
      <c r="F74" s="8" t="n">
        <v>1071</v>
      </c>
      <c r="G74" s="22" t="n">
        <v>53.2</v>
      </c>
      <c r="H74" s="7" t="n">
        <v>16</v>
      </c>
      <c r="I74" s="6" t="n">
        <v>3</v>
      </c>
      <c r="J74" s="6" t="n">
        <v>0</v>
      </c>
      <c r="K74" s="6" t="n">
        <v>1</v>
      </c>
    </row>
    <row r="75">
      <c r="A75" s="6" t="inlineStr">
        <is>
          <t>2026-08-18</t>
        </is>
      </c>
      <c r="B75" s="6" t="inlineStr">
        <is>
          <t>scp-lab</t>
        </is>
      </c>
      <c r="C75" s="16" t="inlineStr">
        <is>
          <t>SCP-682の酸槽、記録に残らない変化が起きた【ショート】</t>
        </is>
      </c>
      <c r="D75" s="6" t="inlineStr">
        <is>
          <t>自然文</t>
        </is>
      </c>
      <c r="E75" s="6" t="n">
        <v>30</v>
      </c>
      <c r="F75" s="8" t="n">
        <v>913</v>
      </c>
      <c r="G75" s="7" t="n">
        <v>49.4</v>
      </c>
      <c r="H75" s="7" t="n">
        <v>17</v>
      </c>
      <c r="I75" s="6" t="n">
        <v>6</v>
      </c>
      <c r="J75" s="6" t="n">
        <v>0</v>
      </c>
      <c r="K75" s="6" t="n">
        <v>1</v>
      </c>
    </row>
    <row r="76">
      <c r="A76" s="6" t="inlineStr">
        <is>
          <t>2026-08-18</t>
        </is>
      </c>
      <c r="B76" s="6" t="inlineStr">
        <is>
          <t>2ch-matome</t>
        </is>
      </c>
      <c r="C76" s="16" t="inlineStr">
        <is>
          <t>なんか靴下だけ消えるんやがw【ショート】</t>
        </is>
      </c>
      <c r="D76" s="6" t="inlineStr">
        <is>
          <t>自然文</t>
        </is>
      </c>
      <c r="E76" s="6" t="n">
        <v>20</v>
      </c>
      <c r="F76" s="8" t="n">
        <v>703</v>
      </c>
      <c r="G76" s="22" t="n">
        <v>56.1</v>
      </c>
      <c r="H76" s="7" t="n">
        <v>13</v>
      </c>
      <c r="I76" s="6" t="n">
        <v>1</v>
      </c>
      <c r="J76" s="6" t="n">
        <v>0</v>
      </c>
      <c r="K76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1" customWidth="1" min="5" max="5"/>
    <col width="15" customWidth="1" min="6" max="6"/>
  </cols>
  <sheetData>
    <row r="1">
      <c r="A1" s="1" t="inlineStr">
        <is>
          <t>実測トレンドと回帰</t>
        </is>
      </c>
    </row>
    <row r="2">
      <c r="A2" s="2" t="inlineStr">
        <is>
          <t>台本アーカイブ616本のうち実績と突合できた n=214 に基づく。</t>
        </is>
      </c>
    </row>
    <row r="4">
      <c r="A4" s="3" t="inlineStr">
        <is>
          <t>■ 台本字数と維持率（最重要）</t>
        </is>
      </c>
    </row>
    <row r="5">
      <c r="A5" s="5" t="inlineStr">
        <is>
          <t>字数帯</t>
        </is>
      </c>
      <c r="B5" s="5" t="inlineStr">
        <is>
          <t>本数</t>
        </is>
      </c>
      <c r="C5" s="5" t="inlineStr">
        <is>
          <t>平均維持率%</t>
        </is>
      </c>
      <c r="D5" s="5" t="inlineStr">
        <is>
          <t>平均再生</t>
        </is>
      </c>
      <c r="E5" s="5" t="inlineStr">
        <is>
          <t>登録/1000再生</t>
        </is>
      </c>
    </row>
    <row r="6">
      <c r="A6" s="6" t="inlineStr">
        <is>
          <t>〜220字</t>
        </is>
      </c>
      <c r="B6" s="6" t="n">
        <v>111</v>
      </c>
      <c r="C6" s="22" t="n">
        <v>59.8</v>
      </c>
      <c r="D6" s="8" t="n">
        <v>1056</v>
      </c>
      <c r="E6" s="9" t="n">
        <v>0.48</v>
      </c>
    </row>
    <row r="7">
      <c r="A7" s="6" t="inlineStr">
        <is>
          <t>220-260字</t>
        </is>
      </c>
      <c r="B7" s="6" t="n">
        <v>43</v>
      </c>
      <c r="C7" s="22" t="n">
        <v>58.4</v>
      </c>
      <c r="D7" s="8" t="n">
        <v>1028</v>
      </c>
      <c r="E7" s="9" t="n">
        <v>0.38</v>
      </c>
    </row>
    <row r="8">
      <c r="A8" s="6" t="inlineStr">
        <is>
          <t>260-300字</t>
        </is>
      </c>
      <c r="B8" s="6" t="n">
        <v>21</v>
      </c>
      <c r="C8" s="23" t="n">
        <v>43.2</v>
      </c>
      <c r="D8" s="8" t="n">
        <v>925</v>
      </c>
      <c r="E8" s="9" t="n">
        <v>0.36</v>
      </c>
    </row>
    <row r="9">
      <c r="A9" s="6" t="inlineStr">
        <is>
          <t>300-350字</t>
        </is>
      </c>
      <c r="B9" s="6" t="n">
        <v>13</v>
      </c>
      <c r="C9" s="21" t="n">
        <v>31.2</v>
      </c>
      <c r="D9" s="8" t="n">
        <v>961</v>
      </c>
      <c r="E9" s="9" t="n">
        <v>0.64</v>
      </c>
    </row>
    <row r="10">
      <c r="A10" s="6" t="inlineStr">
        <is>
          <t>350字〜</t>
        </is>
      </c>
      <c r="B10" s="6" t="n">
        <v>26</v>
      </c>
      <c r="C10" s="21" t="n">
        <v>28.2</v>
      </c>
      <c r="D10" s="8" t="n">
        <v>635</v>
      </c>
      <c r="E10" s="9" t="n">
        <v>0.36</v>
      </c>
    </row>
    <row r="12">
      <c r="A12" s="24" t="inlineStr">
        <is>
          <t>回帰式: 維持率(%) = 92.6 − 0.1720 × 台本字数   （n=214, r = -0.414）</t>
        </is>
      </c>
    </row>
    <row r="13">
      <c r="A13" s="5" t="inlineStr">
        <is>
          <t>字数</t>
        </is>
      </c>
      <c r="B13" s="5" t="inlineStr">
        <is>
          <t>回帰による推定維持率%</t>
        </is>
      </c>
    </row>
    <row r="14">
      <c r="A14" s="6" t="n">
        <v>180</v>
      </c>
      <c r="B14" s="7">
        <f>92.6-0.1720*A14</f>
        <v/>
      </c>
    </row>
    <row r="15">
      <c r="A15" s="6" t="n">
        <v>210</v>
      </c>
      <c r="B15" s="7">
        <f>92.6-0.1720*A15</f>
        <v/>
      </c>
    </row>
    <row r="16">
      <c r="A16" s="6" t="n">
        <v>240</v>
      </c>
      <c r="B16" s="7">
        <f>92.6-0.1720*A16</f>
        <v/>
      </c>
    </row>
    <row r="17">
      <c r="A17" s="6" t="n">
        <v>280</v>
      </c>
      <c r="B17" s="7">
        <f>92.6-0.1720*A17</f>
        <v/>
      </c>
    </row>
    <row r="18">
      <c r="A18" s="6" t="n">
        <v>320</v>
      </c>
      <c r="B18" s="7">
        <f>92.6-0.1720*A18</f>
        <v/>
      </c>
    </row>
    <row r="19">
      <c r="A19" s="6" t="n">
        <v>360</v>
      </c>
      <c r="B19" s="7">
        <f>92.6-0.1720*A19</f>
        <v/>
      </c>
    </row>
    <row r="21">
      <c r="A21" s="3" t="inlineStr">
        <is>
          <t>■ 行数と維持率</t>
        </is>
      </c>
    </row>
    <row r="22">
      <c r="A22" s="5" t="inlineStr">
        <is>
          <t>行数</t>
        </is>
      </c>
      <c r="B22" s="5" t="inlineStr">
        <is>
          <t>本数</t>
        </is>
      </c>
      <c r="C22" s="5" t="inlineStr">
        <is>
          <t>平均維持率%</t>
        </is>
      </c>
      <c r="D22" s="5" t="inlineStr">
        <is>
          <t>平均再生</t>
        </is>
      </c>
    </row>
    <row r="23">
      <c r="A23" s="6" t="n">
        <v>6</v>
      </c>
      <c r="B23" s="6" t="n">
        <v>165</v>
      </c>
      <c r="C23" s="22" t="n">
        <v>58.4</v>
      </c>
      <c r="D23" s="8" t="n">
        <v>1033</v>
      </c>
    </row>
    <row r="24">
      <c r="A24" s="6" t="n">
        <v>7</v>
      </c>
      <c r="B24" s="6" t="n">
        <v>9</v>
      </c>
      <c r="C24" s="21" t="n">
        <v>36.7</v>
      </c>
      <c r="D24" s="8" t="n">
        <v>930</v>
      </c>
    </row>
    <row r="25">
      <c r="A25" s="6" t="n">
        <v>8</v>
      </c>
      <c r="B25" s="6" t="n">
        <v>32</v>
      </c>
      <c r="C25" s="21" t="n">
        <v>31.5</v>
      </c>
      <c r="D25" s="8" t="n">
        <v>813</v>
      </c>
    </row>
    <row r="26">
      <c r="A26" s="6" t="n">
        <v>9</v>
      </c>
      <c r="B26" s="6" t="n">
        <v>8</v>
      </c>
      <c r="C26" s="21" t="n">
        <v>27.3</v>
      </c>
      <c r="D26" s="8" t="n">
        <v>622</v>
      </c>
    </row>
    <row r="28">
      <c r="A28" s="3" t="inlineStr">
        <is>
          <t>■ タイトル要素別（08-19以降 n=66。尺の問題を期間で統制した比較）</t>
        </is>
      </c>
    </row>
    <row r="29">
      <c r="A29" s="5" t="inlineStr">
        <is>
          <t>比較軸</t>
        </is>
      </c>
      <c r="B29" s="5" t="inlineStr">
        <is>
          <t>条件</t>
        </is>
      </c>
      <c r="C29" s="5" t="inlineStr">
        <is>
          <t>本数</t>
        </is>
      </c>
      <c r="D29" s="5" t="inlineStr">
        <is>
          <t>平均維持率%</t>
        </is>
      </c>
      <c r="E29" s="5" t="inlineStr">
        <is>
          <t>平均再生</t>
        </is>
      </c>
      <c r="F29" s="5" t="inlineStr">
        <is>
          <t>登録/1000再生</t>
        </is>
      </c>
    </row>
    <row r="30">
      <c r="A30" s="6" t="inlineStr">
        <is>
          <t>タイトル型</t>
        </is>
      </c>
      <c r="B30" s="6" t="inlineStr">
        <is>
          <t>連番テンプレ</t>
        </is>
      </c>
      <c r="C30" s="6" t="n">
        <v>35</v>
      </c>
      <c r="D30" s="21" t="n">
        <v>29.7</v>
      </c>
      <c r="E30" s="8" t="n">
        <v>740</v>
      </c>
      <c r="F30" s="9" t="n">
        <v>0.39</v>
      </c>
    </row>
    <row r="31">
      <c r="A31" s="6" t="inlineStr">
        <is>
          <t>タイトル型</t>
        </is>
      </c>
      <c r="B31" s="6" t="inlineStr">
        <is>
          <t>自然文</t>
        </is>
      </c>
      <c r="C31" s="6" t="n">
        <v>31</v>
      </c>
      <c r="D31" s="23" t="n">
        <v>41.2</v>
      </c>
      <c r="E31" s="8" t="n">
        <v>863</v>
      </c>
      <c r="F31" s="9" t="n">
        <v>0.41</v>
      </c>
    </row>
    <row r="32">
      <c r="A32" s="6" t="inlineStr">
        <is>
          <t>絵文字</t>
        </is>
      </c>
      <c r="B32" s="6" t="inlineStr">
        <is>
          <t>あり</t>
        </is>
      </c>
      <c r="C32" s="6" t="n">
        <v>40</v>
      </c>
      <c r="D32" s="23" t="n">
        <v>32.7</v>
      </c>
      <c r="E32" s="8" t="n">
        <v>759</v>
      </c>
      <c r="F32" s="9" t="n">
        <v>0.33</v>
      </c>
    </row>
    <row r="33">
      <c r="A33" s="6" t="inlineStr">
        <is>
          <t>絵文字</t>
        </is>
      </c>
      <c r="B33" s="6" t="inlineStr">
        <is>
          <t>なし</t>
        </is>
      </c>
      <c r="C33" s="6" t="n">
        <v>26</v>
      </c>
      <c r="D33" s="23" t="n">
        <v>38.7</v>
      </c>
      <c r="E33" s="8" t="n">
        <v>858</v>
      </c>
      <c r="F33" s="9" t="n">
        <v>0.49</v>
      </c>
    </row>
    <row r="34">
      <c r="A34" s="6" t="inlineStr">
        <is>
          <t>タイトル長</t>
        </is>
      </c>
      <c r="B34" s="6" t="inlineStr">
        <is>
          <t>30字未満</t>
        </is>
      </c>
      <c r="C34" s="6" t="n">
        <v>9</v>
      </c>
      <c r="D34" s="22" t="n">
        <v>50.4</v>
      </c>
      <c r="E34" s="8" t="n">
        <v>822</v>
      </c>
      <c r="F34" s="25" t="n"/>
    </row>
    <row r="35">
      <c r="A35" s="6" t="inlineStr">
        <is>
          <t>タイトル長</t>
        </is>
      </c>
      <c r="B35" s="6" t="inlineStr">
        <is>
          <t>30-40字</t>
        </is>
      </c>
      <c r="C35" s="6" t="n">
        <v>14</v>
      </c>
      <c r="D35" s="21" t="n">
        <v>31.9</v>
      </c>
      <c r="E35" s="8" t="n">
        <v>887</v>
      </c>
      <c r="F35" s="25" t="n"/>
    </row>
    <row r="36">
      <c r="A36" s="6" t="inlineStr">
        <is>
          <t>タイトル長</t>
        </is>
      </c>
      <c r="B36" s="6" t="inlineStr">
        <is>
          <t>40-50字</t>
        </is>
      </c>
      <c r="C36" s="6" t="n">
        <v>20</v>
      </c>
      <c r="D36" s="23" t="n">
        <v>36.2</v>
      </c>
      <c r="E36" s="8" t="n">
        <v>811</v>
      </c>
      <c r="F36" s="25" t="n"/>
    </row>
    <row r="37">
      <c r="A37" s="6" t="inlineStr">
        <is>
          <t>タイトル長</t>
        </is>
      </c>
      <c r="B37" s="6" t="inlineStr">
        <is>
          <t>50字以上</t>
        </is>
      </c>
      <c r="C37" s="6" t="n">
        <v>23</v>
      </c>
      <c r="D37" s="21" t="n">
        <v>30.1</v>
      </c>
      <c r="E37" s="8" t="n">
        <v>722</v>
      </c>
      <c r="F37" s="25" t="n"/>
    </row>
    <row r="39">
      <c r="A39" s="3" t="inlineStr">
        <is>
          <t>■ 台本品質と実績（本日特定した不具合の影響）</t>
        </is>
      </c>
    </row>
    <row r="40">
      <c r="A40" s="5" t="inlineStr">
        <is>
          <t>条件</t>
        </is>
      </c>
      <c r="B40" s="5" t="inlineStr">
        <is>
          <t>本数</t>
        </is>
      </c>
      <c r="C40" s="5" t="inlineStr">
        <is>
          <t>平均維持率%</t>
        </is>
      </c>
      <c r="D40" s="5" t="inlineStr">
        <is>
          <t>平均再生</t>
        </is>
      </c>
    </row>
    <row r="41">
      <c r="A41" s="6" t="inlineStr">
        <is>
          <t>パワーワード破損あり</t>
        </is>
      </c>
      <c r="B41" s="6" t="n">
        <v>14</v>
      </c>
      <c r="C41" s="21" t="n">
        <v>32.2</v>
      </c>
      <c r="D41" s="8" t="n">
        <v>694</v>
      </c>
    </row>
    <row r="42">
      <c r="A42" s="6" t="inlineStr">
        <is>
          <t>破損なし</t>
        </is>
      </c>
      <c r="B42" s="6" t="n">
        <v>200</v>
      </c>
      <c r="C42" s="22" t="n">
        <v>53.7</v>
      </c>
      <c r="D42" s="8" t="n">
        <v>1000</v>
      </c>
    </row>
    <row r="43">
      <c r="A43" s="6" t="inlineStr">
        <is>
          <t>エンハンサー注入句あり</t>
        </is>
      </c>
      <c r="B43" s="6" t="n">
        <v>18</v>
      </c>
      <c r="C43" s="21" t="n">
        <v>36</v>
      </c>
      <c r="D43" s="8" t="n">
        <v>886</v>
      </c>
    </row>
    <row r="44">
      <c r="A44" s="6" t="inlineStr">
        <is>
          <t>注入句なし</t>
        </is>
      </c>
      <c r="B44" s="6" t="n">
        <v>196</v>
      </c>
      <c r="C44" s="22" t="n">
        <v>53.8</v>
      </c>
      <c r="D44" s="8" t="n">
        <v>989</v>
      </c>
    </row>
    <row r="46">
      <c r="A46" s="3" t="inlineStr">
        <is>
          <t>■ 修正の効果（08-24〜30のうち入力に既存破損が無い実台本38本に修正後パイプラインを適用した回帰）</t>
        </is>
      </c>
    </row>
    <row r="47">
      <c r="A47" s="5" t="inlineStr">
        <is>
          <t>指標</t>
        </is>
      </c>
      <c r="B47" s="5" t="inlineStr">
        <is>
          <t>修正前</t>
        </is>
      </c>
      <c r="C47" s="5" t="inlineStr">
        <is>
          <t>修正後</t>
        </is>
      </c>
      <c r="D47" s="5" t="inlineStr">
        <is>
          <t>差分</t>
        </is>
      </c>
    </row>
    <row r="48">
      <c r="A48" s="6" t="inlineStr">
        <is>
          <t>平均台本字数</t>
        </is>
      </c>
      <c r="B48" s="6" t="n">
        <v>318</v>
      </c>
      <c r="C48" s="26" t="n">
        <v>215</v>
      </c>
      <c r="D48" s="7">
        <f>C48-B48</f>
        <v/>
      </c>
    </row>
    <row r="49">
      <c r="A49" s="6" t="inlineStr">
        <is>
          <t>文字数帯を超過した本数</t>
        </is>
      </c>
      <c r="B49" s="6" t="n">
        <v>37</v>
      </c>
      <c r="C49" s="26" t="n">
        <v>11</v>
      </c>
      <c r="D49" s="7">
        <f>C49-B49</f>
        <v/>
      </c>
    </row>
    <row r="50">
      <c r="A50" s="6" t="inlineStr">
        <is>
          <t>帯超過率(%)</t>
        </is>
      </c>
      <c r="B50" s="6" t="n">
        <v>97</v>
      </c>
      <c r="C50" s="26" t="n">
        <v>29</v>
      </c>
      <c r="D50" s="7">
        <f>C50-B50</f>
        <v/>
      </c>
    </row>
    <row r="51">
      <c r="A51" s="6" t="inlineStr">
        <is>
          <t>推定維持率(%)</t>
        </is>
      </c>
      <c r="B51" s="6" t="n">
        <v>37.9</v>
      </c>
      <c r="C51" s="26" t="n">
        <v>55.6</v>
      </c>
      <c r="D51" s="7">
        <f>C51-B51</f>
        <v/>
      </c>
    </row>
    <row r="53">
      <c r="A53" s="2" t="inlineStr">
        <is>
          <t>注: 「推定維持率」は上記の回帰式に平均字数を代入した推定値であり、実測ではない。実効果は09-07のコホートで検証すること。</t>
        </is>
      </c>
    </row>
    <row r="54">
      <c r="A54" s="2" t="inlineStr">
        <is>
          <t>注: 同回帰で「新規に生じた破損 0本」「CTA品質（高評価あり・シリーズ重複なし）6/6」も確認済み。</t>
        </is>
      </c>
    </row>
    <row r="55">
      <c r="A55" s="2" t="inlineStr">
        <is>
          <t>注: 本日の修正は自己査読を実施し、修正自体に含まれていた不具合6件を検出・追加修正した上での数値。詳細は pdca_summary_0831.md を参照。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4" customWidth="1" min="3" max="3"/>
    <col width="38" customWidth="1" min="4" max="4"/>
    <col width="30" customWidth="1" min="5" max="5"/>
  </cols>
  <sheetData>
    <row r="1">
      <c r="A1" s="1" t="inlineStr">
        <is>
          <t>次回（2026-09-07）に検証すべき仮説</t>
        </is>
      </c>
    </row>
    <row r="2">
      <c r="A2" s="2" t="inlineStr">
        <is>
          <t>本日の変更は多くが n が小さい根拠に基づく。方向性は一致しているが、コホートが揃った時点で必ず再検証すること。</t>
        </is>
      </c>
    </row>
    <row r="4">
      <c r="A4" s="5" t="inlineStr">
        <is>
          <t>#</t>
        </is>
      </c>
      <c r="B4" s="5" t="inlineStr">
        <is>
          <t>仮説</t>
        </is>
      </c>
      <c r="C4" s="5" t="inlineStr">
        <is>
          <t>本日の根拠と n</t>
        </is>
      </c>
      <c r="D4" s="5" t="inlineStr">
        <is>
          <t>検証方法</t>
        </is>
      </c>
      <c r="E4" s="5" t="inlineStr">
        <is>
          <t>リスク</t>
        </is>
      </c>
    </row>
    <row r="5" ht="72" customHeight="1">
      <c r="A5" s="16" t="inlineStr">
        <is>
          <t>1</t>
        </is>
      </c>
      <c r="B5" s="16" t="inlineStr">
        <is>
          <t>尺を帯内(210〜225字)に戻せば維持率は40%台から55%前後まで回復する</t>
        </is>
      </c>
      <c r="C5" s="16" t="inlineStr">
        <is>
          <t>回帰 維持率=92.6-0.1720×字数 (n=214, r=-0.414) による推定。実測ではない</t>
        </is>
      </c>
      <c r="D5" s="16" t="inlineStr">
        <is>
          <t>09-01以降に公開された動画の実測維持率を、08-24〜30のコホートと比較する</t>
        </is>
      </c>
      <c r="E5" s="16" t="inlineStr">
        <is>
          <t>回帰は交絡（テンプレ型と長尺が同時期に導入された）を含む可能性。字数以外の要因で説明される余地がある</t>
        </is>
      </c>
    </row>
    <row r="6" ht="72" customHeight="1">
      <c r="A6" s="16" t="inlineStr">
        <is>
          <t>2</t>
        </is>
      </c>
      <c r="B6" s="16" t="inlineStr">
        <is>
          <t>連番プレフィックスの廃止で維持率と再生が改善する</t>
        </is>
      </c>
      <c r="C6" s="16" t="inlineStr">
        <is>
          <t>08-19以降 n=66 で 29.7% vs 41.2%。ただし登録では差が無かった(0.39 vs 0.41)</t>
        </is>
      </c>
      <c r="D6" s="16" t="inlineStr">
        <is>
          <t>09-01以降の自然文タイトルのみのコホートで維持率・再生・登録を測る</t>
        </is>
      </c>
      <c r="E6" s="16" t="inlineStr">
        <is>
          <t>連番には長期のビンジ効果がある可能性があり、1週間では判定できない。旧値は退避済みなので復帰は容易</t>
        </is>
      </c>
    </row>
    <row r="7" ht="72" customHeight="1">
      <c r="A7" s="16" t="inlineStr">
        <is>
          <t>3</t>
        </is>
      </c>
      <c r="B7" s="16" t="inlineStr">
        <is>
          <t>高評価CTAの常時挿入で登録/1000再生が上がる</t>
        </is>
      </c>
      <c r="C7" s="16" t="inlineStr">
        <is>
          <t>高評価率上位半分 0.58 vs 下位 0.22（n=68, 2.64倍）。相関であり因果ではない</t>
        </is>
      </c>
      <c r="D7" s="16" t="inlineStr">
        <is>
          <t>遵守率が100%になった後の登録/1000再生を、遵守率が低かった今週と比較する</t>
        </is>
      </c>
      <c r="E7" s="16" t="inlineStr">
        <is>
          <t>高評価率が高いのは動画が良いからであって、CTAを足しても高評価は増えない可能性がある（逆因果）</t>
        </is>
      </c>
    </row>
    <row r="8" ht="72" customHeight="1">
      <c r="A8" s="16" t="inlineStr">
        <is>
          <t>4</t>
        </is>
      </c>
      <c r="B8" s="16" t="inlineStr">
        <is>
          <t>pokemon-lab の対決型は維持率と再生で優位</t>
        </is>
      </c>
      <c r="C8" s="16" t="inlineStr">
        <is>
          <t>n=4 と極めて小さい。維持率43.6% vs 28.0%、再生1240 vs 823。ただし1本あたり登録は 0.250 vs 0.375 で劣後</t>
        </is>
      </c>
      <c r="D8" s="16" t="inlineStr">
        <is>
          <t>対決型を継続投入し n を積み増したうえで、登録指標を主軸に再評価する</t>
        </is>
      </c>
      <c r="E8" s="16" t="inlineStr">
        <is>
          <t>再生は取れるが登録に繋がらない型である可能性。至上目標は登録者数なので、n が揃った時点で登録を優先して判断する</t>
        </is>
      </c>
    </row>
    <row r="9" ht="72" customHeight="1">
      <c r="A9" s="16" t="inlineStr">
        <is>
          <t>5</t>
        </is>
      </c>
      <c r="B9" s="16" t="inlineStr">
        <is>
          <t>yokai-watch の作品ネタ優位は消失した</t>
        </is>
      </c>
      <c r="C9" s="16" t="inlineStr">
        <is>
          <t>作品ネタ 0.250 vs 伝承のみ 0.250（n=12）。登録/1k と維持率では作品ネタ優位、平均再生では劣後と指標が割れる</t>
        </is>
      </c>
      <c r="D9" s="16" t="inlineStr">
        <is>
          <t>作品ネタと伝承を半々で回し、09-07に3指標すべてで比較する</t>
        </is>
      </c>
      <c r="E9" s="16" t="inlineStr">
        <is>
          <t>どちらかに寄せると比較できなくなるため、意図的に半々を維持する必要がある</t>
        </is>
      </c>
    </row>
    <row r="10" ht="72" customHeight="1">
      <c r="A10" s="16" t="inlineStr">
        <is>
          <t>6</t>
        </is>
      </c>
      <c r="B10" s="16" t="inlineStr">
        <is>
          <t>daily-science の疑問形仮説は検証不能のまま</t>
        </is>
      </c>
      <c r="C10" s="16" t="inlineStr">
        <is>
          <t>今回のコホートで非疑問形が n=1 しかなく対照群が成立しなかった</t>
        </is>
      </c>
      <c r="D10" s="16" t="inlineStr">
        <is>
          <t>非疑問形を意図的に週2本程度混ぜて対照群を作る</t>
        </is>
      </c>
      <c r="E10" s="16" t="inlineStr">
        <is>
          <t>対照群作成のために成績の劣る型を投入するコストが発生する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2026-08-31T01:43:03Z</dcterms:created>
  <dcterms:modified xmlns:dcterms="http://purl.org/dc/terms/" xmlns:xsi="http://www.w3.org/2001/XMLSchema-instance" xsi:type="dcterms:W3CDTF">2026-08-31T01:43:03Z</dcterms:modified>
</cp:coreProperties>
</file>