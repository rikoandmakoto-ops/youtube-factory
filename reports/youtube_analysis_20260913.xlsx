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チャンネル別詳細" sheetId="2" state="visible" r:id="rId4"/>
    <sheet name="動画別パフォーマンス" sheetId="3" state="visible" r:id="rId5"/>
    <sheet name="改善アクション" sheetId="4" state="visible" r:id="rId6"/>
    <sheet name="トレンド" sheetId="5" state="visible" r:id="rId7"/>
  </sheets>
  <definedNames>
    <definedName function="false" hidden="true" localSheetId="2" name="_xlnm._FilterDatabase" vbProcedure="false">動画別パフォーマンス!$A$3:$I$266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orchestrator</author>
  </authors>
  <commentList>
    <comment ref="B16" authorId="0">
      <text>
        <r>
          <rPr>
            <sz val="10"/>
            <rFont val="Noto Sans CJK SC"/>
            <family val="2"/>
          </rPr>
          <t xml:space="preserve">滞留</t>
        </r>
        <r>
          <rPr>
            <sz val="10"/>
            <rFont val="Arial"/>
            <family val="2"/>
          </rPr>
          <t xml:space="preserve">95</t>
        </r>
        <r>
          <rPr>
            <sz val="10"/>
            <rFont val="Noto Sans CJK SC"/>
            <family val="2"/>
          </rPr>
          <t xml:space="preserve">本 </t>
        </r>
        <r>
          <rPr>
            <sz val="10"/>
            <rFont val="Arial"/>
            <family val="2"/>
          </rPr>
          <t xml:space="preserve">× </t>
        </r>
        <r>
          <rPr>
            <sz val="10"/>
            <rFont val="Noto Sans CJK SC"/>
            <family val="2"/>
          </rPr>
          <t xml:space="preserve">コホート全体の平均再生数。実際の再生は公開時期により変動するため概算。</t>
        </r>
      </text>
    </comment>
  </commentList>
</comments>
</file>

<file path=xl/sharedStrings.xml><?xml version="1.0" encoding="utf-8"?>
<sst xmlns="http://schemas.openxmlformats.org/spreadsheetml/2006/main" count="951" uniqueCount="407">
  <si>
    <r>
      <rPr>
        <b val="true"/>
        <sz val="14"/>
        <color rgb="FF1F3864"/>
        <rFont val="Arial"/>
        <family val="0"/>
        <charset val="1"/>
      </rPr>
      <t xml:space="preserve">YouTube Factory </t>
    </r>
    <r>
      <rPr>
        <b val="true"/>
        <sz val="14"/>
        <color rgb="FF1F3864"/>
        <rFont val="Noto Sans CJK SC"/>
        <family val="2"/>
      </rPr>
      <t xml:space="preserve">日次分析  </t>
    </r>
    <r>
      <rPr>
        <b val="true"/>
        <sz val="14"/>
        <color rgb="FF1F3864"/>
        <rFont val="Arial"/>
        <family val="0"/>
        <charset val="1"/>
      </rPr>
      <t xml:space="preserve">2026-09-13</t>
    </r>
  </si>
  <si>
    <t xml:space="preserve">★本日の最重要事項</t>
  </si>
  <si>
    <r>
      <rPr>
        <b val="true"/>
        <sz val="10"/>
        <color rgb="FF9C0006"/>
        <rFont val="Arial"/>
        <family val="0"/>
        <charset val="1"/>
      </rPr>
      <t xml:space="preserve">2026-09-09 </t>
    </r>
    <r>
      <rPr>
        <b val="true"/>
        <sz val="10"/>
        <color rgb="FF9C0006"/>
        <rFont val="Noto Sans CJK SC"/>
        <family val="2"/>
      </rPr>
      <t xml:space="preserve">以降、全チャンネルの </t>
    </r>
    <r>
      <rPr>
        <b val="true"/>
        <sz val="10"/>
        <color rgb="FF9C0006"/>
        <rFont val="Arial"/>
        <family val="0"/>
        <charset val="1"/>
      </rPr>
      <t xml:space="preserve">OAuth </t>
    </r>
    <r>
      <rPr>
        <b val="true"/>
        <sz val="10"/>
        <color rgb="FF9C0006"/>
        <rFont val="Noto Sans CJK SC"/>
        <family val="2"/>
      </rPr>
      <t xml:space="preserve">リフレッシュトークンが失効し（</t>
    </r>
    <r>
      <rPr>
        <b val="true"/>
        <sz val="10"/>
        <color rgb="FF9C0006"/>
        <rFont val="Arial"/>
        <family val="0"/>
        <charset val="1"/>
      </rPr>
      <t xml:space="preserve">invalid_grant: Token has been expired or revoked</t>
    </r>
    <r>
      <rPr>
        <b val="true"/>
        <sz val="10"/>
        <color rgb="FF9C0006"/>
        <rFont val="Noto Sans CJK SC"/>
        <family val="2"/>
      </rPr>
      <t xml:space="preserve">）、公開が </t>
    </r>
    <r>
      <rPr>
        <b val="true"/>
        <sz val="10"/>
        <color rgb="FF9C0006"/>
        <rFont val="Arial"/>
        <family val="0"/>
        <charset val="1"/>
      </rPr>
      <t xml:space="preserve">1 </t>
    </r>
    <r>
      <rPr>
        <b val="true"/>
        <sz val="10"/>
        <color rgb="FF9C0006"/>
        <rFont val="Noto Sans CJK SC"/>
        <family val="2"/>
      </rPr>
      <t xml:space="preserve">本も成立していない。生成パイプラインは正常稼働しており、</t>
    </r>
    <r>
      <rPr>
        <b val="true"/>
        <sz val="10"/>
        <color rgb="FF9C0006"/>
        <rFont val="Arial"/>
        <family val="0"/>
        <charset val="1"/>
      </rPr>
      <t xml:space="preserve">2026-09-09</t>
    </r>
    <r>
      <rPr>
        <b val="true"/>
        <sz val="10"/>
        <color rgb="FF9C0006"/>
        <rFont val="Noto Sans CJK SC"/>
        <family val="2"/>
      </rPr>
      <t xml:space="preserve">〜</t>
    </r>
    <r>
      <rPr>
        <b val="true"/>
        <sz val="10"/>
        <color rgb="FF9C0006"/>
        <rFont val="Arial"/>
        <family val="0"/>
        <charset val="1"/>
      </rPr>
      <t xml:space="preserve">2026-09-13 </t>
    </r>
    <r>
      <rPr>
        <b val="true"/>
        <sz val="10"/>
        <color rgb="FF9C0006"/>
        <rFont val="Noto Sans CJK SC"/>
        <family val="2"/>
      </rPr>
      <t xml:space="preserve">で </t>
    </r>
    <r>
      <rPr>
        <b val="true"/>
        <sz val="10"/>
        <color rgb="FF9C0006"/>
        <rFont val="Arial"/>
        <family val="0"/>
        <charset val="1"/>
      </rPr>
      <t xml:space="preserve">95 </t>
    </r>
    <r>
      <rPr>
        <b val="true"/>
        <sz val="10"/>
        <color rgb="FF9C0006"/>
        <rFont val="Noto Sans CJK SC"/>
        <family val="2"/>
      </rPr>
      <t xml:space="preserve">本が生成済み・未公開のまま滞留。</t>
    </r>
  </si>
  <si>
    <r>
      <rPr>
        <sz val="10"/>
        <rFont val="Noto Sans CJK SC"/>
        <family val="2"/>
      </rPr>
      <t xml:space="preserve">推定原因</t>
    </r>
    <r>
      <rPr>
        <sz val="10"/>
        <rFont val="Arial"/>
        <family val="0"/>
        <charset val="1"/>
      </rPr>
      <t xml:space="preserve">: GCP OAuth </t>
    </r>
    <r>
      <rPr>
        <sz val="10"/>
        <rFont val="Noto Sans CJK SC"/>
        <family val="2"/>
      </rPr>
      <t xml:space="preserve">同意画面が「テスト」のままだとリフレッシュトークンは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日で失効する。</t>
    </r>
  </si>
  <si>
    <r>
      <rPr>
        <b val="true"/>
        <sz val="10"/>
        <rFont val="Noto Sans CJK SC"/>
        <family val="2"/>
      </rPr>
      <t xml:space="preserve">対処</t>
    </r>
    <r>
      <rPr>
        <b val="true"/>
        <sz val="10"/>
        <rFont val="Arial"/>
        <family val="0"/>
        <charset val="1"/>
      </rPr>
      <t xml:space="preserve">: ①</t>
    </r>
    <r>
      <rPr>
        <b val="true"/>
        <sz val="10"/>
        <rFont val="Noto Sans CJK SC"/>
        <family val="2"/>
      </rPr>
      <t xml:space="preserve">同意画面を「本番」公開 → ②全</t>
    </r>
    <r>
      <rPr>
        <b val="true"/>
        <sz val="10"/>
        <rFont val="Arial"/>
        <family val="0"/>
        <charset val="1"/>
      </rPr>
      <t xml:space="preserve">ch</t>
    </r>
    <r>
      <rPr>
        <b val="true"/>
        <sz val="10"/>
        <rFont val="Noto Sans CJK SC"/>
        <family val="2"/>
      </rPr>
      <t xml:space="preserve">再認可 → ③滞留分を公開  </t>
    </r>
    <r>
      <rPr>
        <b val="true"/>
        <sz val="10"/>
        <rFont val="Arial"/>
        <family val="0"/>
        <charset val="1"/>
      </rPr>
      <t xml:space="preserve">(scripts/orch_recover_20260913.command)</t>
    </r>
  </si>
  <si>
    <t xml:space="preserve">公開停止の影響</t>
  </si>
  <si>
    <t xml:space="preserve">指標</t>
  </si>
  <si>
    <t xml:space="preserve">値</t>
  </si>
  <si>
    <t xml:space="preserve">算出根拠</t>
  </si>
  <si>
    <t xml:space="preserve">公開停止日数</t>
  </si>
  <si>
    <r>
      <rPr>
        <sz val="10"/>
        <rFont val="Arial"/>
        <family val="0"/>
        <charset val="1"/>
      </rPr>
      <t xml:space="preserve">2026-09-09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2026-09-13</t>
    </r>
    <r>
      <rPr>
        <sz val="10"/>
        <rFont val="Noto Sans CJK SC"/>
        <family val="2"/>
      </rPr>
      <t xml:space="preserve">（最終公開 </t>
    </r>
    <r>
      <rPr>
        <sz val="10"/>
        <rFont val="Arial"/>
        <family val="0"/>
        <charset val="1"/>
      </rPr>
      <t xml:space="preserve">2026-09-08</t>
    </r>
    <r>
      <rPr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</si>
  <si>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停止前の平均公開本数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Noto Sans CJK SC"/>
        <family val="2"/>
      </rPr>
      <t xml:space="preserve">日</t>
    </r>
  </si>
  <si>
    <r>
      <rPr>
        <sz val="10"/>
        <rFont val="Arial"/>
        <family val="0"/>
        <charset val="1"/>
      </rPr>
      <t xml:space="preserve">2026-09-04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日平均（</t>
    </r>
    <r>
      <rPr>
        <sz val="10"/>
        <rFont val="Arial"/>
        <family val="0"/>
        <charset val="1"/>
      </rPr>
      <t xml:space="preserve">17/19/18/18/14 </t>
    </r>
    <r>
      <rPr>
        <sz val="10"/>
        <rFont val="Noto Sans CJK SC"/>
        <family val="2"/>
      </rPr>
      <t xml:space="preserve">本）</t>
    </r>
  </si>
  <si>
    <t xml:space="preserve">未公開の滞留本数</t>
  </si>
  <si>
    <r>
      <rPr>
        <sz val="10"/>
        <rFont val="Arial"/>
        <family val="0"/>
        <charset val="1"/>
      </rPr>
      <t xml:space="preserve">iCloud </t>
    </r>
    <r>
      <rPr>
        <sz val="10"/>
        <rFont val="Noto Sans CJK SC"/>
        <family val="2"/>
      </rPr>
      <t xml:space="preserve">動画出力フォルダの </t>
    </r>
    <r>
      <rPr>
        <sz val="10"/>
        <rFont val="Arial"/>
        <family val="0"/>
        <charset val="1"/>
      </rPr>
      <t xml:space="preserve">09-09 </t>
    </r>
    <r>
      <rPr>
        <sz val="10"/>
        <rFont val="Noto Sans CJK SC"/>
        <family val="2"/>
      </rPr>
      <t xml:space="preserve">以降作成ディレクトリ数</t>
    </r>
  </si>
  <si>
    <t xml:space="preserve">逸失再生（推計）</t>
  </si>
  <si>
    <r>
      <rPr>
        <sz val="10"/>
        <rFont val="Noto Sans CJK SC"/>
        <family val="2"/>
      </rPr>
      <t xml:space="preserve">滞留本数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コホート平均再生</t>
    </r>
  </si>
  <si>
    <t xml:space="preserve">逸失登録（推計）</t>
  </si>
  <si>
    <r>
      <rPr>
        <sz val="10"/>
        <rFont val="Noto Sans CJK SC"/>
        <family val="2"/>
      </rPr>
      <t xml:space="preserve">逸失再生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平均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</t>
    </r>
  </si>
  <si>
    <r>
      <rPr>
        <b val="true"/>
        <sz val="11"/>
        <rFont val="Noto Sans CJK SC"/>
        <family val="2"/>
      </rPr>
      <t xml:space="preserve">コホート実績（公開 </t>
    </r>
    <r>
      <rPr>
        <b val="true"/>
        <sz val="11"/>
        <rFont val="Arial"/>
        <family val="0"/>
        <charset val="1"/>
      </rPr>
      <t xml:space="preserve">2026-08-10 </t>
    </r>
    <r>
      <rPr>
        <b val="true"/>
        <sz val="11"/>
        <rFont val="Noto Sans CJK SC"/>
        <family val="2"/>
      </rPr>
      <t xml:space="preserve">以降 </t>
    </r>
    <r>
      <rPr>
        <b val="true"/>
        <sz val="11"/>
        <rFont val="Arial"/>
        <family val="0"/>
        <charset val="1"/>
      </rPr>
      <t xml:space="preserve">/ 09-08 </t>
    </r>
    <r>
      <rPr>
        <b val="true"/>
        <sz val="11"/>
        <rFont val="Noto Sans CJK SC"/>
        <family val="2"/>
      </rPr>
      <t xml:space="preserve">時点で凍結）</t>
    </r>
  </si>
  <si>
    <t xml:space="preserve">チャンネル</t>
  </si>
  <si>
    <t xml:space="preserve">本数</t>
  </si>
  <si>
    <t xml:space="preserve">総再生</t>
  </si>
  <si>
    <t xml:space="preserve">平均再生</t>
  </si>
  <si>
    <t xml:space="preserve">登録</t>
  </si>
  <si>
    <r>
      <rPr>
        <b val="true"/>
        <sz val="10"/>
        <color rgb="FFFFFFFF"/>
        <rFont val="Noto Sans CJK SC"/>
        <family val="2"/>
      </rPr>
      <t xml:space="preserve">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千再生</t>
    </r>
  </si>
  <si>
    <t xml:space="preserve">維持率</t>
  </si>
  <si>
    <t xml:space="preserve">daily-science</t>
  </si>
  <si>
    <t xml:space="preserve">scp-lab</t>
  </si>
  <si>
    <t xml:space="preserve">2ch-matome</t>
  </si>
  <si>
    <t xml:space="preserve">pokemon-lab</t>
  </si>
  <si>
    <t xml:space="preserve">yokai-watch</t>
  </si>
  <si>
    <t xml:space="preserve">company-facts</t>
  </si>
  <si>
    <r>
      <rPr>
        <b val="true"/>
        <sz val="10"/>
        <rFont val="Noto Sans CJK SC"/>
        <family val="2"/>
      </rPr>
      <t xml:space="preserve">合計 </t>
    </r>
    <r>
      <rPr>
        <b val="true"/>
        <sz val="10"/>
        <rFont val="Arial"/>
        <family val="0"/>
        <charset val="1"/>
      </rPr>
      <t xml:space="preserve">/ </t>
    </r>
    <r>
      <rPr>
        <b val="true"/>
        <sz val="10"/>
        <rFont val="Noto Sans CJK SC"/>
        <family val="2"/>
      </rPr>
      <t xml:space="preserve">加重平均</t>
    </r>
  </si>
  <si>
    <r>
      <rPr>
        <sz val="10"/>
        <rFont val="Noto Sans CJK SC"/>
        <family val="2"/>
      </rPr>
      <t xml:space="preserve">至上目標は登録者数の増加。登録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千再生の上位は </t>
    </r>
    <r>
      <rPr>
        <sz val="10"/>
        <rFont val="Arial"/>
        <family val="0"/>
        <charset val="1"/>
      </rPr>
      <t xml:space="preserve">scp-lab / company-facts</t>
    </r>
    <r>
      <rPr>
        <sz val="10"/>
        <rFont val="Noto Sans CJK SC"/>
        <family val="2"/>
      </rPr>
      <t xml:space="preserve">、下位は </t>
    </r>
    <r>
      <rPr>
        <sz val="10"/>
        <rFont val="Arial"/>
        <family val="0"/>
        <charset val="1"/>
      </rPr>
      <t xml:space="preserve">2ch-matome / pokemon-lab</t>
    </r>
    <r>
      <rPr>
        <sz val="10"/>
        <rFont val="Noto Sans CJK SC"/>
        <family val="2"/>
      </rPr>
      <t xml:space="preserve">。</t>
    </r>
  </si>
  <si>
    <r>
      <rPr>
        <b val="true"/>
        <sz val="14"/>
        <color rgb="FF1F3864"/>
        <rFont val="Noto Sans CJK SC"/>
        <family val="2"/>
      </rPr>
      <t xml:space="preserve">チャンネル別詳細（コホート</t>
    </r>
    <r>
      <rPr>
        <b val="true"/>
        <sz val="14"/>
        <color rgb="FF1F3864"/>
        <rFont val="Arial"/>
        <family val="0"/>
        <charset val="1"/>
      </rPr>
      <t xml:space="preserve">: </t>
    </r>
    <r>
      <rPr>
        <b val="true"/>
        <sz val="14"/>
        <color rgb="FF1F3864"/>
        <rFont val="Noto Sans CJK SC"/>
        <family val="2"/>
      </rPr>
      <t xml:space="preserve">公開 </t>
    </r>
    <r>
      <rPr>
        <b val="true"/>
        <sz val="14"/>
        <color rgb="FF1F3864"/>
        <rFont val="Arial"/>
        <family val="0"/>
        <charset val="1"/>
      </rPr>
      <t xml:space="preserve">2026-08-10 </t>
    </r>
    <r>
      <rPr>
        <b val="true"/>
        <sz val="14"/>
        <color rgb="FF1F3864"/>
        <rFont val="Noto Sans CJK SC"/>
        <family val="2"/>
      </rPr>
      <t xml:space="preserve">以降）</t>
    </r>
  </si>
  <si>
    <t xml:space="preserve">高評価率</t>
  </si>
  <si>
    <r>
      <rPr>
        <b val="true"/>
        <sz val="10"/>
        <color rgb="FFFFFFFF"/>
        <rFont val="Noto Sans CJK SC"/>
        <family val="2"/>
      </rPr>
      <t xml:space="preserve">有効</t>
    </r>
    <r>
      <rPr>
        <b val="true"/>
        <sz val="10"/>
        <color rgb="FFFFFFFF"/>
        <rFont val="Arial"/>
        <family val="0"/>
        <charset val="1"/>
      </rPr>
      <t xml:space="preserve">CTR</t>
    </r>
  </si>
  <si>
    <r>
      <rPr>
        <b val="true"/>
        <sz val="10"/>
        <color rgb="FFFFFFFF"/>
        <rFont val="Arial"/>
        <family val="0"/>
        <charset val="1"/>
      </rPr>
      <t xml:space="preserve">CTR</t>
    </r>
    <r>
      <rPr>
        <b val="true"/>
        <sz val="10"/>
        <color rgb="FFFFFFFF"/>
        <rFont val="Noto Sans CJK SC"/>
        <family val="2"/>
      </rPr>
      <t xml:space="preserve">有効</t>
    </r>
    <r>
      <rPr>
        <b val="true"/>
        <sz val="10"/>
        <color rgb="FFFFFFFF"/>
        <rFont val="Arial"/>
        <family val="0"/>
        <charset val="1"/>
      </rPr>
      <t xml:space="preserve">n</t>
    </r>
  </si>
  <si>
    <t xml:space="preserve">注意事項</t>
  </si>
  <si>
    <r>
      <rPr>
        <sz val="10"/>
        <rFont val="Noto Sans CJK SC"/>
        <family val="2"/>
      </rPr>
      <t xml:space="preserve">・有効</t>
    </r>
    <r>
      <rPr>
        <sz val="10"/>
        <rFont val="Arial"/>
        <family val="0"/>
        <charset val="1"/>
      </rPr>
      <t xml:space="preserve">CTR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impressions&gt;0 </t>
    </r>
    <r>
      <rPr>
        <sz val="10"/>
        <rFont val="Noto Sans CJK SC"/>
        <family val="2"/>
      </rPr>
      <t xml:space="preserve">かつ </t>
    </r>
    <r>
      <rPr>
        <sz val="10"/>
        <rFont val="Arial"/>
        <family val="0"/>
        <charset val="1"/>
      </rPr>
      <t xml:space="preserve">ctr&gt;0 </t>
    </r>
    <r>
      <rPr>
        <sz val="10"/>
        <rFont val="Noto Sans CJK SC"/>
        <family val="2"/>
      </rPr>
      <t xml:space="preserve">の動画のみで集計している。コホート </t>
    </r>
    <r>
      <rPr>
        <sz val="10"/>
        <rFont val="Arial"/>
        <family val="0"/>
        <charset val="1"/>
      </rPr>
      <t xml:space="preserve">263 </t>
    </r>
    <r>
      <rPr>
        <sz val="10"/>
        <rFont val="Noto Sans CJK SC"/>
        <family val="2"/>
      </rPr>
      <t xml:space="preserve">本中、条件を満たすのは </t>
    </r>
    <r>
      <rPr>
        <sz val="10"/>
        <rFont val="Arial"/>
        <family val="0"/>
        <charset val="1"/>
      </rPr>
      <t xml:space="preserve">156 </t>
    </r>
    <r>
      <rPr>
        <sz val="10"/>
        <rFont val="Noto Sans CJK SC"/>
        <family val="2"/>
      </rPr>
      <t xml:space="preserve">本。</t>
    </r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</si>
  <si>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CTR </t>
    </r>
    <r>
      <rPr>
        <sz val="10"/>
        <rFont val="Noto Sans CJK SC"/>
        <family val="2"/>
      </rPr>
      <t xml:space="preserve">を根拠にした判断は、この限定が必要（母数の少ない 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2ch-matome n=13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company-facts n=31 </t>
    </r>
    <r>
      <rPr>
        <sz val="10"/>
        <rFont val="Noto Sans CJK SC"/>
        <family val="2"/>
      </rPr>
      <t xml:space="preserve">と差が大きい）。</t>
    </r>
  </si>
  <si>
    <r>
      <rPr>
        <sz val="10"/>
        <rFont val="Noto Sans CJK SC"/>
        <family val="2"/>
      </rPr>
      <t xml:space="preserve">・維持率は動画単純平均ではなく本数加重。</t>
    </r>
    <r>
      <rPr>
        <sz val="10"/>
        <rFont val="Arial"/>
        <family val="0"/>
        <charset val="1"/>
      </rPr>
      <t xml:space="preserve">retention_curve </t>
    </r>
    <r>
      <rPr>
        <sz val="10"/>
        <rFont val="Noto Sans CJK SC"/>
        <family val="2"/>
      </rPr>
      <t xml:space="preserve">は主力 </t>
    </r>
    <r>
      <rPr>
        <sz val="10"/>
        <rFont val="Arial"/>
        <family val="0"/>
        <charset val="1"/>
      </rPr>
      <t xml:space="preserve">5ch </t>
    </r>
    <r>
      <rPr>
        <sz val="10"/>
        <rFont val="Noto Sans CJK SC"/>
        <family val="2"/>
      </rPr>
      <t xml:space="preserve">で未取得のままで、離脱点分析は </t>
    </r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のみ可能。</t>
    </r>
  </si>
  <si>
    <r>
      <rPr>
        <sz val="10"/>
        <rFont val="Noto Sans CJK SC"/>
        <family val="2"/>
      </rPr>
      <t xml:space="preserve">・本コホートは </t>
    </r>
    <r>
      <rPr>
        <sz val="10"/>
        <rFont val="Arial"/>
        <family val="0"/>
        <charset val="1"/>
      </rPr>
      <t xml:space="preserve">2026-09-08 </t>
    </r>
    <r>
      <rPr>
        <sz val="10"/>
        <rFont val="Noto Sans CJK SC"/>
        <family val="2"/>
      </rPr>
      <t xml:space="preserve">で凍結している（</t>
    </r>
    <r>
      <rPr>
        <sz val="10"/>
        <rFont val="Arial"/>
        <family val="0"/>
        <charset val="1"/>
      </rPr>
      <t xml:space="preserve">09-09 </t>
    </r>
    <r>
      <rPr>
        <sz val="10"/>
        <rFont val="Noto Sans CJK SC"/>
        <family val="2"/>
      </rPr>
      <t xml:space="preserve">以降の公開が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本のため）。</t>
    </r>
    <r>
      <rPr>
        <sz val="10"/>
        <rFont val="Arial"/>
        <family val="0"/>
        <charset val="1"/>
      </rPr>
      <t xml:space="preserve">09-12 </t>
    </r>
    <r>
      <rPr>
        <sz val="10"/>
        <rFont val="Noto Sans CJK SC"/>
        <family val="2"/>
      </rPr>
      <t xml:space="preserve">の分析値と同一。</t>
    </r>
  </si>
  <si>
    <r>
      <rPr>
        <sz val="10"/>
        <rFont val="Noto Sans CJK SC"/>
        <family val="2"/>
      </rPr>
      <t xml:space="preserve">・さらに </t>
    </r>
    <r>
      <rPr>
        <sz val="10"/>
        <rFont val="Arial"/>
        <family val="0"/>
        <charset val="1"/>
      </rPr>
      <t xml:space="preserve">09-07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本）・</t>
    </r>
    <r>
      <rPr>
        <sz val="10"/>
        <rFont val="Arial"/>
        <family val="0"/>
        <charset val="1"/>
      </rPr>
      <t xml:space="preserve">09-08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本）の計 </t>
    </r>
    <r>
      <rPr>
        <sz val="10"/>
        <rFont val="Arial"/>
        <family val="0"/>
        <charset val="1"/>
      </rPr>
      <t xml:space="preserve">32 </t>
    </r>
    <r>
      <rPr>
        <sz val="10"/>
        <rFont val="Noto Sans CJK SC"/>
        <family val="2"/>
      </rPr>
      <t xml:space="preserve">本は再生数がすべて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で記録されている。これは実績ではなく </t>
    </r>
    <r>
      <rPr>
        <sz val="10"/>
        <rFont val="Arial"/>
        <family val="0"/>
        <charset val="1"/>
      </rPr>
      <t xml:space="preserve">analytics </t>
    </r>
    <r>
      <rPr>
        <sz val="10"/>
        <rFont val="Noto Sans CJK SC"/>
        <family val="2"/>
      </rPr>
      <t xml:space="preserve">同期も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前後で止まったことによる欠測。復旧後に </t>
    </r>
    <r>
      <rPr>
        <sz val="10"/>
        <rFont val="Arial"/>
        <family val="0"/>
        <charset val="1"/>
      </rPr>
      <t xml:space="preserve">backfill </t>
    </r>
    <r>
      <rPr>
        <sz val="10"/>
        <rFont val="Noto Sans CJK SC"/>
        <family val="2"/>
      </rPr>
      <t xml:space="preserve">が必要。</t>
    </r>
  </si>
  <si>
    <r>
      <rPr>
        <b val="true"/>
        <sz val="14"/>
        <color rgb="FF1F3864"/>
        <rFont val="Noto Sans CJK SC"/>
        <family val="2"/>
      </rPr>
      <t xml:space="preserve">動画別パフォーマンス（コホート全 </t>
    </r>
    <r>
      <rPr>
        <b val="true"/>
        <sz val="14"/>
        <color rgb="FF1F3864"/>
        <rFont val="Arial"/>
        <family val="0"/>
        <charset val="1"/>
      </rPr>
      <t xml:space="preserve">263 </t>
    </r>
    <r>
      <rPr>
        <b val="true"/>
        <sz val="14"/>
        <color rgb="FF1F3864"/>
        <rFont val="Noto Sans CJK SC"/>
        <family val="2"/>
      </rPr>
      <t xml:space="preserve">本 </t>
    </r>
    <r>
      <rPr>
        <b val="true"/>
        <sz val="14"/>
        <color rgb="FF1F3864"/>
        <rFont val="Arial"/>
        <family val="0"/>
        <charset val="1"/>
      </rPr>
      <t xml:space="preserve">/ </t>
    </r>
    <r>
      <rPr>
        <b val="true"/>
        <sz val="14"/>
        <color rgb="FF1F3864"/>
        <rFont val="Noto Sans CJK SC"/>
        <family val="2"/>
      </rPr>
      <t xml:space="preserve">登録数の降順）</t>
    </r>
  </si>
  <si>
    <t xml:space="preserve">公開日</t>
  </si>
  <si>
    <t xml:space="preserve">タイトル</t>
  </si>
  <si>
    <t xml:space="preserve">再生</t>
  </si>
  <si>
    <t xml:space="preserve">高評価</t>
  </si>
  <si>
    <t xml:space="preserve">CTR</t>
  </si>
  <si>
    <t xml:space="preserve">2026-08-26</t>
  </si>
  <si>
    <r>
      <rPr>
        <sz val="10"/>
        <rFont val="Noto Sans CJK SC"/>
        <family val="2"/>
      </rPr>
      <t xml:space="preserve">💸トヨタ自動車の年収</t>
    </r>
    <r>
      <rPr>
        <sz val="10"/>
        <rFont val="Arial"/>
        <family val="0"/>
        <charset val="1"/>
      </rPr>
      <t xml:space="preserve">982</t>
    </r>
    <r>
      <rPr>
        <sz val="10"/>
        <rFont val="Noto Sans CJK SC"/>
        <family val="2"/>
      </rPr>
      <t xml:space="preserve">万円、実は手当の中身が違う【ショート】</t>
    </r>
  </si>
  <si>
    <t xml:space="preserve">2026-08-20</t>
  </si>
  <si>
    <r>
      <rPr>
        <sz val="10"/>
        <rFont val="Noto Sans CJK SC"/>
        <family val="2"/>
      </rPr>
      <t xml:space="preserve">💰アジア大会の裏方企業、年収</t>
    </r>
    <r>
      <rPr>
        <sz val="10"/>
        <rFont val="Arial"/>
        <family val="0"/>
        <charset val="1"/>
      </rPr>
      <t xml:space="preserve">932</t>
    </r>
    <r>
      <rPr>
        <sz val="10"/>
        <rFont val="Noto Sans CJK SC"/>
        <family val="2"/>
      </rPr>
      <t xml:space="preserve">万円の実態💰【ショート】</t>
    </r>
  </si>
  <si>
    <t xml:space="preserve">2026-08-27</t>
  </si>
  <si>
    <r>
      <rPr>
        <sz val="10"/>
        <rFont val="Noto Sans CJK SC"/>
        <family val="2"/>
      </rPr>
      <t xml:space="preserve">📉大谷翔平の年収が実は約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億円？スポンサー契約の裏側📉【ショート】</t>
    </r>
  </si>
  <si>
    <t xml:space="preserve">2026-09-04</t>
  </si>
  <si>
    <r>
      <rPr>
        <sz val="10"/>
        <rFont val="Noto Sans CJK SC"/>
        <family val="2"/>
      </rPr>
      <t xml:space="preserve">犬神憑きはなぜ家系ごと記録されたのか 恒一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</si>
  <si>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なぜ調査員は</t>
    </r>
    <r>
      <rPr>
        <sz val="10"/>
        <rFont val="Arial"/>
        <family val="0"/>
        <charset val="1"/>
      </rPr>
      <t xml:space="preserve">SCP-1283-JP</t>
    </r>
    <r>
      <rPr>
        <sz val="10"/>
        <rFont val="Noto Sans CJK SC"/>
        <family val="2"/>
      </rPr>
      <t xml:space="preserve">の踏切のむこうで消えたのか？【ショート】</t>
    </r>
  </si>
  <si>
    <t xml:space="preserve">2026-08-31</t>
  </si>
  <si>
    <r>
      <rPr>
        <sz val="10"/>
        <rFont val="Noto Sans CJK SC"/>
        <family val="2"/>
      </rPr>
      <t xml:space="preserve">なぜ座ると腰だけ痛い？圧力</t>
    </r>
    <r>
      <rPr>
        <sz val="10"/>
        <rFont val="Arial"/>
        <family val="0"/>
        <charset val="1"/>
      </rPr>
      <t xml:space="preserve">1.4</t>
    </r>
    <r>
      <rPr>
        <sz val="10"/>
        <rFont val="Noto Sans CJK SC"/>
        <family val="2"/>
      </rPr>
      <t xml:space="preserve">倍【ショート】</t>
    </r>
  </si>
  <si>
    <r>
      <rPr>
        <sz val="10"/>
        <rFont val="Noto Sans CJK SC"/>
        <family val="2"/>
      </rPr>
      <t xml:space="preserve">三菱商事の平均年収</t>
    </r>
    <r>
      <rPr>
        <sz val="10"/>
        <rFont val="Arial"/>
        <family val="0"/>
        <charset val="1"/>
      </rPr>
      <t xml:space="preserve">2033</t>
    </r>
    <r>
      <rPr>
        <sz val="10"/>
        <rFont val="Noto Sans CJK SC"/>
        <family val="2"/>
      </rPr>
      <t xml:space="preserve">万円、その中身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</si>
  <si>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2026-08-14</t>
  </si>
  <si>
    <r>
      <rPr>
        <sz val="10"/>
        <rFont val="Noto Sans CJK SC"/>
        <family val="2"/>
      </rPr>
      <t xml:space="preserve">なんか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の画面チカチカするんやが【ショート】</t>
    </r>
  </si>
  <si>
    <t xml:space="preserve">2026-08-15</t>
  </si>
  <si>
    <t xml:space="preserve">花子さんの正体 — なぜ学校のトイレで「三番目」なのか【ショート】</t>
  </si>
  <si>
    <r>
      <rPr>
        <sz val="10"/>
        <rFont val="Noto Sans CJK SC"/>
        <family val="2"/>
      </rPr>
      <t xml:space="preserve">オリエンタルランドの年収</t>
    </r>
    <r>
      <rPr>
        <sz val="10"/>
        <rFont val="Arial"/>
        <family val="0"/>
        <charset val="1"/>
      </rPr>
      <t xml:space="preserve">536</t>
    </r>
    <r>
      <rPr>
        <sz val="10"/>
        <rFont val="Noto Sans CJK SC"/>
        <family val="2"/>
      </rPr>
      <t xml:space="preserve">万円、離職率</t>
    </r>
    <r>
      <rPr>
        <sz val="10"/>
        <rFont val="Arial"/>
        <family val="0"/>
        <charset val="1"/>
      </rPr>
      <t xml:space="preserve">2.1%</t>
    </r>
    <r>
      <rPr>
        <sz val="10"/>
        <rFont val="Noto Sans CJK SC"/>
        <family val="2"/>
      </rPr>
      <t xml:space="preserve">の実態【ショート】</t>
    </r>
  </si>
  <si>
    <r>
      <rPr>
        <sz val="10"/>
        <rFont val="Arial"/>
        <family val="0"/>
        <charset val="1"/>
      </rPr>
      <t xml:space="preserve">SCP-6121 </t>
    </r>
    <r>
      <rPr>
        <sz val="10"/>
        <rFont val="Noto Sans CJK SC"/>
        <family val="2"/>
      </rPr>
      <t xml:space="preserve">毎晩</t>
    </r>
    <r>
      <rPr>
        <sz val="10"/>
        <rFont val="Arial"/>
        <family val="0"/>
        <charset val="1"/>
      </rPr>
      <t xml:space="preserve">1cm</t>
    </r>
    <r>
      <rPr>
        <sz val="10"/>
        <rFont val="Noto Sans CJK SC"/>
        <family val="2"/>
      </rPr>
      <t xml:space="preserve">動く椅子、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日目に起きた異変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</si>
  <si>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2026-08-11</t>
  </si>
  <si>
    <r>
      <rPr>
        <sz val="10"/>
        <rFont val="Arial"/>
        <family val="0"/>
        <charset val="1"/>
      </rPr>
      <t xml:space="preserve">SCP-2399</t>
    </r>
    <r>
      <rPr>
        <sz val="10"/>
        <rFont val="Noto Sans CJK SC"/>
        <family val="2"/>
      </rPr>
      <t xml:space="preserve">収容記録：地球まで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時間、なぜ迎撃隊だけ全滅したのか【最後の軌道通信】【ショート】</t>
    </r>
  </si>
  <si>
    <t xml:space="preserve">2026-08-12</t>
  </si>
  <si>
    <r>
      <rPr>
        <sz val="10"/>
        <rFont val="Noto Sans CJK SC"/>
        <family val="2"/>
      </rPr>
      <t xml:space="preserve">サントリーの平均年収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万円超？残業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時間の実態【ショート】</t>
    </r>
  </si>
  <si>
    <t xml:space="preserve">2026-08-21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</si>
  <si>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#11</t>
    </r>
    <r>
      <rPr>
        <sz val="10"/>
        <rFont val="Noto Sans CJK SC"/>
        <family val="2"/>
      </rPr>
      <t xml:space="preserve">：🔥ドラパルトとガブリアス、君は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秒で速さの壁を越えられる？【ショート】</t>
    </r>
  </si>
  <si>
    <t xml:space="preserve">2026-09-05</t>
  </si>
  <si>
    <r>
      <rPr>
        <sz val="10"/>
        <rFont val="Noto Sans CJK SC"/>
        <family val="2"/>
      </rPr>
      <t xml:space="preserve">キュウビが日本へ渡った理由、知ってる？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</si>
  <si>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Netflix</t>
    </r>
    <r>
      <rPr>
        <sz val="10"/>
        <rFont val="Noto Sans CJK SC"/>
        <family val="2"/>
      </rPr>
      <t xml:space="preserve">の月額</t>
    </r>
    <r>
      <rPr>
        <sz val="10"/>
        <rFont val="Arial"/>
        <family val="0"/>
        <charset val="1"/>
      </rPr>
      <t xml:space="preserve">1,590</t>
    </r>
    <r>
      <rPr>
        <sz val="10"/>
        <rFont val="Noto Sans CJK SC"/>
        <family val="2"/>
      </rPr>
      <t xml:space="preserve">円、本当はどこに消える？【ショート】</t>
    </r>
  </si>
  <si>
    <r>
      <rPr>
        <sz val="10"/>
        <rFont val="Noto Sans CJK SC"/>
        <family val="2"/>
      </rPr>
      <t xml:space="preserve">じんめん犬はなぜ笑い話になった？消えた恐怖の噂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</si>
  <si>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2026-08-30</t>
  </si>
  <si>
    <r>
      <rPr>
        <sz val="10"/>
        <rFont val="Arial"/>
        <family val="0"/>
        <charset val="1"/>
      </rPr>
      <t xml:space="preserve">SCP-4335</t>
    </r>
    <r>
      <rPr>
        <sz val="10"/>
        <rFont val="Noto Sans CJK SC"/>
        <family val="2"/>
      </rPr>
      <t xml:space="preserve">を見た海域で、なぜ観測記録が途絶えたのか？【ショート】</t>
    </r>
  </si>
  <si>
    <t xml:space="preserve">2026-09-01</t>
  </si>
  <si>
    <r>
      <rPr>
        <sz val="10"/>
        <rFont val="Arial"/>
        <family val="0"/>
        <charset val="1"/>
      </rPr>
      <t xml:space="preserve">SCP-1987 </t>
    </r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時間ごとに被害が増える？【ショート】</t>
    </r>
  </si>
  <si>
    <t xml:space="preserve">2026-09-03</t>
  </si>
  <si>
    <r>
      <rPr>
        <sz val="10"/>
        <rFont val="Noto Sans CJK SC"/>
        <family val="2"/>
      </rPr>
      <t xml:space="preserve">実はマックに神メニュー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品が決まらない本当の理由とは？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</si>
  <si>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Arial"/>
        <family val="0"/>
        <charset val="1"/>
      </rPr>
      <t xml:space="preserve">SCP-096</t>
    </r>
    <r>
      <rPr>
        <sz val="10"/>
        <rFont val="Noto Sans CJK SC"/>
        <family val="2"/>
      </rPr>
      <t xml:space="preserve">の顔を見た者に起きた記録消失の真相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</si>
  <si>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2026-08-28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</si>
  <si>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#99</t>
    </r>
    <r>
      <rPr>
        <sz val="10"/>
        <rFont val="Noto Sans CJK SC"/>
        <family val="2"/>
      </rPr>
      <t xml:space="preserve">：🧪なぜ濡れた紙は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倍も破れやすい？あなたが毎日触る繊維の正体【ショート】</t>
    </r>
  </si>
  <si>
    <t xml:space="preserve">2026-08-18</t>
  </si>
  <si>
    <t xml:space="preserve">海坊主の正体が怖すぎる — 船を沈める巨大な影は何だったのか【ショート】</t>
  </si>
  <si>
    <r>
      <rPr>
        <sz val="10"/>
        <rFont val="Noto Sans CJK SC"/>
        <family val="2"/>
      </rPr>
      <t xml:space="preserve">日本マクドナルドの正体、年収</t>
    </r>
    <r>
      <rPr>
        <sz val="10"/>
        <rFont val="Arial"/>
        <family val="0"/>
        <charset val="1"/>
      </rPr>
      <t xml:space="preserve">670</t>
    </r>
    <r>
      <rPr>
        <sz val="10"/>
        <rFont val="Noto Sans CJK SC"/>
        <family val="2"/>
      </rPr>
      <t xml:space="preserve">万円の裏側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</si>
  <si>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2026-08-25</t>
  </si>
  <si>
    <r>
      <rPr>
        <sz val="10"/>
        <rFont val="Noto Sans CJK SC"/>
        <family val="2"/>
      </rPr>
      <t xml:space="preserve">💸不二家の半額ケーキ、実は年収</t>
    </r>
    <r>
      <rPr>
        <sz val="10"/>
        <rFont val="Arial"/>
        <family val="0"/>
        <charset val="1"/>
      </rPr>
      <t xml:space="preserve">549</t>
    </r>
    <r>
      <rPr>
        <sz val="10"/>
        <rFont val="Noto Sans CJK SC"/>
        <family val="2"/>
      </rPr>
      <t xml:space="preserve">万円とどう関係する？【ショート】</t>
    </r>
  </si>
  <si>
    <t xml:space="preserve">ミミッキュとロトム、どっちが勝つ？姿変化を実戦で比べた結果【ショート】</t>
  </si>
  <si>
    <r>
      <rPr>
        <sz val="10"/>
        <rFont val="Noto Sans CJK SC"/>
        <family val="2"/>
      </rPr>
      <t xml:space="preserve">📉花王の男性育休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、年収はいくら？実は数字の裏も見る【ショート】</t>
    </r>
  </si>
  <si>
    <r>
      <rPr>
        <sz val="10"/>
        <rFont val="Noto Sans CJK SC"/>
        <family val="2"/>
      </rPr>
      <t xml:space="preserve">彼女の部屋でヤバい物あげてけ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</si>
  <si>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📉JR</t>
    </r>
    <r>
      <rPr>
        <sz val="10"/>
        <rFont val="Noto Sans CJK SC"/>
        <family val="2"/>
      </rPr>
      <t xml:space="preserve">東日本の年収</t>
    </r>
    <r>
      <rPr>
        <sz val="10"/>
        <rFont val="Arial"/>
        <family val="0"/>
        <charset val="1"/>
      </rPr>
      <t xml:space="preserve">810</t>
    </r>
    <r>
      <rPr>
        <sz val="10"/>
        <rFont val="Noto Sans CJK SC"/>
        <family val="2"/>
      </rPr>
      <t xml:space="preserve">万円、本当は休日</t>
    </r>
    <r>
      <rPr>
        <sz val="10"/>
        <rFont val="Arial"/>
        <family val="0"/>
        <charset val="1"/>
      </rPr>
      <t xml:space="preserve">124</t>
    </r>
    <r>
      <rPr>
        <sz val="10"/>
        <rFont val="Noto Sans CJK SC"/>
        <family val="2"/>
      </rPr>
      <t xml:space="preserve">日とのバランス💸【ショート】</t>
    </r>
  </si>
  <si>
    <t xml:space="preserve">2026-08-13</t>
  </si>
  <si>
    <t xml:space="preserve">ルカリオとウルガモス、どっちが勝つ？相性有利がひっくり返る実戦条件【ショート】</t>
  </si>
  <si>
    <r>
      <rPr>
        <sz val="10"/>
        <rFont val="Noto Sans CJK SC"/>
        <family val="2"/>
      </rPr>
      <t xml:space="preserve">💰味の素の有給取得率、実は</t>
    </r>
    <r>
      <rPr>
        <sz val="10"/>
        <rFont val="Arial"/>
        <family val="0"/>
        <charset val="1"/>
      </rPr>
      <t xml:space="preserve">76.8% </t>
    </r>
    <r>
      <rPr>
        <sz val="10"/>
        <rFont val="Noto Sans CJK SC"/>
        <family val="2"/>
      </rPr>
      <t xml:space="preserve">年収と残業の本当は？💸【ショート】</t>
    </r>
  </si>
  <si>
    <t xml:space="preserve">2026-08-23</t>
  </si>
  <si>
    <r>
      <rPr>
        <sz val="10"/>
        <rFont val="Noto Sans CJK SC"/>
        <family val="2"/>
      </rPr>
      <t xml:space="preserve">💸資生堂の年収</t>
    </r>
    <r>
      <rPr>
        <sz val="10"/>
        <rFont val="Arial"/>
        <family val="0"/>
        <charset val="1"/>
      </rPr>
      <t xml:space="preserve">729</t>
    </r>
    <r>
      <rPr>
        <sz val="10"/>
        <rFont val="Noto Sans CJK SC"/>
        <family val="2"/>
      </rPr>
      <t xml:space="preserve">万円、実はダイバーシティの裏で何がある？【ショート】</t>
    </r>
  </si>
  <si>
    <t xml:space="preserve">2026-08-29</t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</si>
  <si>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PS5 Pro</t>
    </r>
    <r>
      <rPr>
        <sz val="10"/>
        <rFont val="Noto Sans CJK SC"/>
        <family val="2"/>
      </rPr>
      <t xml:space="preserve">に期待する？値段で胃が痛い理由とは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</si>
  <si>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t xml:space="preserve">2026-08-17</t>
  </si>
  <si>
    <r>
      <rPr>
        <sz val="10"/>
        <rFont val="Noto Sans CJK SC"/>
        <family val="2"/>
      </rPr>
      <t xml:space="preserve">リクルートの賞与は年間</t>
    </r>
    <r>
      <rPr>
        <sz val="10"/>
        <rFont val="Arial"/>
        <family val="0"/>
        <charset val="1"/>
      </rPr>
      <t xml:space="preserve">150</t>
    </r>
    <r>
      <rPr>
        <sz val="10"/>
        <rFont val="Noto Sans CJK SC"/>
        <family val="2"/>
      </rPr>
      <t xml:space="preserve">万円超？平均年齢</t>
    </r>
    <r>
      <rPr>
        <sz val="10"/>
        <rFont val="Arial"/>
        <family val="0"/>
        <charset val="1"/>
      </rPr>
      <t xml:space="preserve">35</t>
    </r>
    <r>
      <rPr>
        <sz val="10"/>
        <rFont val="Noto Sans CJK SC"/>
        <family val="2"/>
      </rPr>
      <t xml:space="preserve">歳の待遇を検証【ショート】</t>
    </r>
  </si>
  <si>
    <t xml:space="preserve">2026-08-19</t>
  </si>
  <si>
    <t xml:space="preserve">ぬらりひょんの正体が怖すぎる — なぜあなたの家に勝手に上がるのか【ショート】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</si>
  <si>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#92</t>
    </r>
    <r>
      <rPr>
        <sz val="10"/>
        <rFont val="Noto Sans CJK SC"/>
        <family val="2"/>
      </rPr>
      <t xml:space="preserve">：🌍なぜ目をこすると光が見える？あなたの網膜で起きる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秒の勘違い💡【ショート】</t>
    </r>
  </si>
  <si>
    <r>
      <rPr>
        <sz val="10"/>
        <rFont val="Noto Sans CJK SC"/>
        <family val="2"/>
      </rPr>
      <t xml:space="preserve">口裂け女の噂はなぜ全国へ？名前を呼べない本当の理由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</si>
  <si>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なぜ夢の続きを見た気がするのか？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が知らない目覚め後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分の記憶再構成【ショート】</t>
    </r>
  </si>
  <si>
    <r>
      <rPr>
        <sz val="10"/>
        <rFont val="Noto Sans CJK SC"/>
        <family val="2"/>
      </rPr>
      <t xml:space="preserve">昨夜の夢、なぜ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分なのに何時間もいた気がする？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割が勘違いする時間感覚【ショート】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</si>
  <si>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#108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SCP-6670</t>
    </r>
    <r>
      <rPr>
        <sz val="10"/>
        <rFont val="Noto Sans CJK SC"/>
        <family val="2"/>
      </rPr>
      <t xml:space="preserve">「完全な破滅」人類全員を消す報告書の恐怖【ショート】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</si>
  <si>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#105</t>
    </r>
    <r>
      <rPr>
        <sz val="10"/>
        <rFont val="Noto Sans CJK SC"/>
        <family val="2"/>
      </rPr>
      <t xml:space="preserve">：💀</t>
    </r>
    <r>
      <rPr>
        <sz val="10"/>
        <rFont val="Arial"/>
        <family val="0"/>
        <charset val="1"/>
      </rPr>
      <t xml:space="preserve">SCP-239</t>
    </r>
    <r>
      <rPr>
        <sz val="10"/>
        <rFont val="Noto Sans CJK SC"/>
        <family val="2"/>
      </rPr>
      <t xml:space="preserve">「魔女の子供」眠る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歳を財団が恐れた収容記録😱【ショート】</t>
    </r>
  </si>
  <si>
    <r>
      <rPr>
        <sz val="10"/>
        <rFont val="Noto Sans CJK SC"/>
        <family val="2"/>
      </rPr>
      <t xml:space="preserve">動画作りに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万課金した男、なぜ昼飯が塩むすびになったのか？【ショート】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</si>
  <si>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#96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SCP-507</t>
    </r>
    <r>
      <rPr>
        <sz val="10"/>
        <rFont val="Noto Sans CJK SC"/>
        <family val="2"/>
      </rPr>
      <t xml:space="preserve">「不本意な次元旅行者」あなたの部屋にも戻るかもしれない恐怖【ショート】</t>
    </r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</si>
  <si>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正体は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秒の無音録音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</si>
  <si>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初代図鑑にだけけつばんが現れた本当の理由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</si>
  <si>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#88</t>
    </r>
    <r>
      <rPr>
        <sz val="10"/>
        <rFont val="Noto Sans CJK SC"/>
        <family val="2"/>
      </rPr>
      <t xml:space="preserve">：📈なぜあなたは最後の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段だけ踏み外す？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秒のズレ📊【ショート】</t>
    </r>
  </si>
  <si>
    <r>
      <rPr>
        <sz val="10"/>
        <rFont val="Arial"/>
        <family val="0"/>
        <charset val="1"/>
      </rPr>
      <t xml:space="preserve">SCP-2140 </t>
    </r>
    <r>
      <rPr>
        <sz val="10"/>
        <rFont val="Noto Sans CJK SC"/>
        <family val="2"/>
      </rPr>
      <t xml:space="preserve">閲覧後、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人の職員記録が別人に置換された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</si>
  <si>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なぜ壁のシミが顔に見える？</t>
    </r>
    <r>
      <rPr>
        <sz val="10"/>
        <rFont val="Arial"/>
        <family val="0"/>
        <charset val="1"/>
      </rPr>
      <t xml:space="preserve">0.1</t>
    </r>
    <r>
      <rPr>
        <sz val="10"/>
        <rFont val="Noto Sans CJK SC"/>
        <family val="2"/>
      </rPr>
      <t xml:space="preserve">秒の正体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</si>
  <si>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SCP-006-JP</t>
    </r>
    <r>
      <rPr>
        <sz val="10"/>
        <rFont val="Noto Sans CJK SC"/>
        <family val="2"/>
      </rPr>
      <t xml:space="preserve">「あけろ」ドアの向こうの記録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</si>
  <si>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キーエンス年収</t>
    </r>
    <r>
      <rPr>
        <sz val="10"/>
        <rFont val="Arial"/>
        <family val="0"/>
        <charset val="1"/>
      </rPr>
      <t xml:space="preserve">2067</t>
    </r>
    <r>
      <rPr>
        <sz val="10"/>
        <rFont val="Noto Sans CJK SC"/>
        <family val="2"/>
      </rPr>
      <t xml:space="preserve">万円の内訳、残業</t>
    </r>
    <r>
      <rPr>
        <sz val="10"/>
        <rFont val="Arial"/>
        <family val="0"/>
        <charset val="1"/>
      </rPr>
      <t xml:space="preserve">37.7</t>
    </r>
    <r>
      <rPr>
        <sz val="10"/>
        <rFont val="Noto Sans CJK SC"/>
        <family val="2"/>
      </rPr>
      <t xml:space="preserve">時間と評価制度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</si>
  <si>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t xml:space="preserve">2026-08-24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</si>
  <si>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#13</t>
    </r>
    <r>
      <rPr>
        <sz val="10"/>
        <rFont val="Noto Sans CJK SC"/>
        <family val="2"/>
      </rPr>
      <t xml:space="preserve">：👀グリーンに隠された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つの秘密、あなたは本当の役割に気づいた？【ショート】</t>
    </r>
  </si>
  <si>
    <r>
      <rPr>
        <sz val="10"/>
        <rFont val="Noto Sans CJK SC"/>
        <family val="2"/>
      </rPr>
      <t xml:space="preserve">ソニーの平均年収</t>
    </r>
    <r>
      <rPr>
        <sz val="10"/>
        <rFont val="Arial"/>
        <family val="0"/>
        <charset val="1"/>
      </rPr>
      <t xml:space="preserve">1118</t>
    </r>
    <r>
      <rPr>
        <sz val="10"/>
        <rFont val="Noto Sans CJK SC"/>
        <family val="2"/>
      </rPr>
      <t xml:space="preserve">万円、年間休日</t>
    </r>
    <r>
      <rPr>
        <sz val="10"/>
        <rFont val="Arial"/>
        <family val="0"/>
        <charset val="1"/>
      </rPr>
      <t xml:space="preserve">125</t>
    </r>
    <r>
      <rPr>
        <sz val="10"/>
        <rFont val="Noto Sans CJK SC"/>
        <family val="2"/>
      </rPr>
      <t xml:space="preserve">日の実態【ショート】</t>
    </r>
  </si>
  <si>
    <r>
      <rPr>
        <sz val="10"/>
        <rFont val="Noto Sans CJK SC"/>
        <family val="2"/>
      </rPr>
      <t xml:space="preserve">なぜ「死亡者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人」の日々で人々が消えたのか【</t>
    </r>
    <r>
      <rPr>
        <sz val="10"/>
        <rFont val="Arial"/>
        <family val="0"/>
        <charset val="1"/>
      </rPr>
      <t xml:space="preserve">SCP-3519</t>
    </r>
    <r>
      <rPr>
        <sz val="10"/>
        <rFont val="Noto Sans CJK SC"/>
        <family val="2"/>
      </rPr>
      <t xml:space="preserve">】【ショート】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</si>
  <si>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分ポケモン研究：ヌメルゴンとバンギラス、特防が高いのはどっち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</si>
  <si>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2026-09-06</t>
  </si>
  <si>
    <r>
      <rPr>
        <sz val="10"/>
        <rFont val="Noto Sans CJK SC"/>
        <family val="2"/>
      </rPr>
      <t xml:space="preserve">小豆洗い、姿を消して「音」だけ残った土地の記録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</si>
  <si>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ハピナス</t>
    </r>
    <r>
      <rPr>
        <sz val="10"/>
        <rFont val="Arial"/>
        <family val="0"/>
        <charset val="1"/>
      </rPr>
      <t xml:space="preserve">HP255</t>
    </r>
    <r>
      <rPr>
        <sz val="10"/>
        <rFont val="Noto Sans CJK SC"/>
        <family val="2"/>
      </rPr>
      <t xml:space="preserve">・特防なのに防御衝撃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</si>
  <si>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万円、実は転職後に差が出る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</si>
  <si>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Arial"/>
        <family val="0"/>
        <charset val="1"/>
      </rPr>
      <t xml:space="preserve">SCP-682</t>
    </r>
    <r>
      <rPr>
        <sz val="10"/>
        <rFont val="Noto Sans CJK SC"/>
        <family val="2"/>
      </rPr>
      <t xml:space="preserve">の酸槽、記録に残らない変化が起きた【ショート】</t>
    </r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</si>
  <si>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なぜ扉に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枚目の札がある？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</si>
  <si>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分科学：なぜ蚊に刺された場所は数分後から痒くなるのか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</si>
  <si>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分妖怪ファイル：キュウビの元ネタ玉藻前、殺生石になった結末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</si>
  <si>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歩き方を意識した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秒で迷う正体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</si>
  <si>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SCP-093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色記録 なぜ戻れた？【ショート】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</si>
  <si>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#94</t>
    </r>
    <r>
      <rPr>
        <sz val="10"/>
        <rFont val="Noto Sans CJK SC"/>
        <family val="2"/>
      </rPr>
      <t xml:space="preserve">：🧬なぜ甘い物のあと塩気が欲しい？あなたの舌で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分起きる感度の正体【ショート】</t>
    </r>
  </si>
  <si>
    <r>
      <rPr>
        <sz val="10"/>
        <rFont val="Noto Sans CJK SC"/>
        <family val="2"/>
      </rPr>
      <t xml:space="preserve">君が知らないシェイミ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形態の正体</t>
    </r>
    <r>
      <rPr>
        <sz val="10"/>
        <rFont val="Arial"/>
        <family val="0"/>
        <charset val="1"/>
      </rPr>
      <t xml:space="preserve">127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</si>
  <si>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#97</t>
    </r>
    <r>
      <rPr>
        <sz val="10"/>
        <rFont val="Noto Sans CJK SC"/>
        <family val="2"/>
      </rPr>
      <t xml:space="preserve">：🧬なぜ大谷翔平は睡眠を最優先するのか？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時間超が支える体の正体【ショート】</t>
    </r>
  </si>
  <si>
    <r>
      <rPr>
        <sz val="10"/>
        <rFont val="Noto Sans CJK SC"/>
        <family val="2"/>
      </rPr>
      <t xml:space="preserve">ちいかわチョコサプ、なぜ中身が攻めすぎなのか？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秒予想してみたら草【ショート】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</si>
  <si>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#93</t>
    </r>
    <r>
      <rPr>
        <sz val="10"/>
        <rFont val="Noto Sans CJK SC"/>
        <family val="2"/>
      </rPr>
      <t xml:space="preserve">：🔍なぜ満月の夜だけ夢を覚えている？月齢</t>
    </r>
    <r>
      <rPr>
        <sz val="10"/>
        <rFont val="Arial"/>
        <family val="0"/>
        <charset val="1"/>
      </rPr>
      <t xml:space="preserve">29.5</t>
    </r>
    <r>
      <rPr>
        <sz val="10"/>
        <rFont val="Noto Sans CJK SC"/>
        <family val="2"/>
      </rPr>
      <t xml:space="preserve">日に隠れた睡眠の正体【ショート】</t>
    </r>
  </si>
  <si>
    <r>
      <rPr>
        <sz val="10"/>
        <rFont val="Arial"/>
        <family val="0"/>
        <charset val="1"/>
      </rPr>
      <t xml:space="preserve">SCP-2845</t>
    </r>
    <r>
      <rPr>
        <sz val="10"/>
        <rFont val="Noto Sans CJK SC"/>
        <family val="2"/>
      </rPr>
      <t xml:space="preserve">収容記録：儀式が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分遅れた夜、</t>
    </r>
    <r>
      <rPr>
        <sz val="10"/>
        <rFont val="Arial"/>
        <family val="0"/>
        <charset val="1"/>
      </rPr>
      <t xml:space="preserve">173</t>
    </r>
    <r>
      <rPr>
        <sz val="10"/>
        <rFont val="Noto Sans CJK SC"/>
        <family val="2"/>
      </rPr>
      <t xml:space="preserve">名はなぜか全員消えた【これが最後の名簿】【ショート】</t>
    </r>
  </si>
  <si>
    <r>
      <rPr>
        <sz val="10"/>
        <rFont val="Noto Sans CJK SC"/>
        <family val="2"/>
      </rPr>
      <t xml:space="preserve">触れた全員が笑う粘体、なぜ</t>
    </r>
    <r>
      <rPr>
        <sz val="10"/>
        <rFont val="Arial"/>
        <family val="0"/>
        <charset val="1"/>
      </rPr>
      <t xml:space="preserve">Safe</t>
    </r>
    <r>
      <rPr>
        <sz val="10"/>
        <rFont val="Noto Sans CJK SC"/>
        <family val="2"/>
      </rPr>
      <t xml:space="preserve">なのか？【ショート】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</si>
  <si>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#20</t>
    </r>
    <r>
      <rPr>
        <sz val="10"/>
        <rFont val="Noto Sans CJK SC"/>
        <family val="2"/>
      </rPr>
      <t xml:space="preserve">：🔍スネイキーに隠された秘密、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段階進化の元ネタは蛇神だった？👁️【ショート】</t>
    </r>
  </si>
  <si>
    <t xml:space="preserve">2026-08-22</t>
  </si>
  <si>
    <r>
      <rPr>
        <sz val="10"/>
        <rFont val="Noto Sans CJK SC"/>
        <family val="2"/>
      </rPr>
      <t xml:space="preserve">実は完治後に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人が戻れなかった本当の理由とは？【ショート】</t>
    </r>
  </si>
  <si>
    <t xml:space="preserve">鬼の元ネタが怖すぎる — 鬼門から来る者を家に入れてはいけない理由【ショート】</t>
  </si>
  <si>
    <t xml:space="preserve">のっぺらぼうの正体が怖すぎる — 顔を奪う怪談はなぜ生まれたのか【ショート】</t>
  </si>
  <si>
    <r>
      <rPr>
        <sz val="10"/>
        <rFont val="Noto Sans CJK SC"/>
        <family val="2"/>
      </rPr>
      <t xml:space="preserve">バンギラスとメタグロス、どっちが勝つ？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族対決は持ち物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つで逆転する【ショート】</t>
    </r>
  </si>
  <si>
    <t xml:space="preserve">ふじのやまの元ネタが怖すぎる — 山に入った人が戻れなくなる禁忌【ショート】</t>
  </si>
  <si>
    <r>
      <rPr>
        <sz val="10"/>
        <rFont val="Noto Sans CJK SC"/>
        <family val="2"/>
      </rPr>
      <t xml:space="preserve">📈退職金の本当は？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社で最大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万円差の実態【ショート】</t>
    </r>
  </si>
  <si>
    <t xml:space="preserve">2026-08-10</t>
  </si>
  <si>
    <t xml:space="preserve">なぜツチノコは家に入る？隠された秘密【ショート】</t>
  </si>
  <si>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パーツ到着時、なぜ箱だけ先に届くのか？【ショート】</t>
    </r>
  </si>
  <si>
    <t xml:space="preserve">なぜパルキアは勝てないと言われる？ウルトラネクロズマとの数字差が意外すぎる【ショート】</t>
  </si>
  <si>
    <t xml:space="preserve">ねちがえる、なぜか夜だけ首を狙う？金縛りの奥にある古い怪異【ショート】</t>
  </si>
  <si>
    <t xml:space="preserve">河童はなぜか子どもだけを呼ぶ？水辺に残された「声」の本当の理由【ショート】</t>
  </si>
  <si>
    <r>
      <rPr>
        <sz val="10"/>
        <rFont val="Noto Sans CJK SC"/>
        <family val="2"/>
      </rPr>
      <t xml:space="preserve">なぜメタグロスはサーフゴーに勝てない？持ち物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つで逆転する本当の理由【ショート】</t>
    </r>
  </si>
  <si>
    <t xml:space="preserve">ワイ、彼女いない歴＝年齢やけど質問ある？【ショート】</t>
  </si>
  <si>
    <r>
      <rPr>
        <sz val="10"/>
        <rFont val="Noto Sans CJK SC"/>
        <family val="2"/>
      </rPr>
      <t xml:space="preserve">リザードンとカイリュー、どっちが勝つ？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倍弱点で勝敗がひっくり返る【ショート】</t>
    </r>
  </si>
  <si>
    <t xml:space="preserve">ホウオウとルギア、まともに戦わせたらどっちが勝つのか【ショート】</t>
  </si>
  <si>
    <r>
      <rPr>
        <sz val="10"/>
        <rFont val="Noto Sans CJK SC"/>
        <family val="2"/>
      </rPr>
      <t xml:space="preserve">ワイの今日の昼飯を当てるスレ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</si>
  <si>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💰Uber Eats</t>
    </r>
    <r>
      <rPr>
        <sz val="10"/>
        <rFont val="Noto Sans CJK SC"/>
        <family val="2"/>
      </rPr>
      <t xml:space="preserve">配達員、本当は時給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円超えもある収入の実態【ショート】</t>
    </r>
  </si>
  <si>
    <r>
      <rPr>
        <sz val="10"/>
        <rFont val="Noto Sans CJK SC"/>
        <family val="2"/>
      </rPr>
      <t xml:space="preserve">後輩「敬語って課金制ですよね？」→翌朝、全員が黙った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スカッと</t>
    </r>
  </si>
  <si>
    <t xml:space="preserve">2026-08-16</t>
  </si>
  <si>
    <t xml:space="preserve">なんかスマホの充電だけ遅いんやが【ショート】</t>
  </si>
  <si>
    <r>
      <rPr>
        <sz val="10"/>
        <rFont val="Arial"/>
        <family val="0"/>
        <charset val="1"/>
      </rPr>
      <t xml:space="preserve">💸GU</t>
    </r>
    <r>
      <rPr>
        <sz val="10"/>
        <rFont val="Noto Sans CJK SC"/>
        <family val="2"/>
      </rPr>
      <t xml:space="preserve">の年収、実はポケモンコラボで上がるのか？平均</t>
    </r>
    <r>
      <rPr>
        <sz val="10"/>
        <rFont val="Arial"/>
        <family val="0"/>
        <charset val="1"/>
      </rPr>
      <t xml:space="preserve">959</t>
    </r>
    <r>
      <rPr>
        <sz val="10"/>
        <rFont val="Noto Sans CJK SC"/>
        <family val="2"/>
      </rPr>
      <t xml:space="preserve">万円の裏側💸【ショート】</t>
    </r>
  </si>
  <si>
    <r>
      <rPr>
        <sz val="10"/>
        <rFont val="Noto Sans CJK SC"/>
        <family val="2"/>
      </rPr>
      <t xml:space="preserve">ガブリアスとボーマンダ、素早さ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でどっちが勝つ？君は気づけるか【ショート】</t>
    </r>
  </si>
  <si>
    <t xml:space="preserve">なぜ同じドラゴンなのに勝敗が割れるのか？カイリューとボーマンダの隠された実戦性能の秘密【ショート】</t>
  </si>
  <si>
    <r>
      <rPr>
        <sz val="10"/>
        <rFont val="Noto Sans CJK SC"/>
        <family val="2"/>
      </rPr>
      <t xml:space="preserve">😱ソニーグループの年収がヤバい </t>
    </r>
    <r>
      <rPr>
        <sz val="10"/>
        <rFont val="Arial"/>
        <family val="0"/>
        <charset val="1"/>
      </rPr>
      <t xml:space="preserve">1118</t>
    </r>
    <r>
      <rPr>
        <sz val="10"/>
        <rFont val="Noto Sans CJK SC"/>
        <family val="2"/>
      </rPr>
      <t xml:space="preserve">万円と</t>
    </r>
    <r>
      <rPr>
        <sz val="10"/>
        <rFont val="Arial"/>
        <family val="0"/>
        <charset val="1"/>
      </rPr>
      <t xml:space="preserve">DualSense</t>
    </r>
    <r>
      <rPr>
        <sz val="10"/>
        <rFont val="Noto Sans CJK SC"/>
        <family val="2"/>
      </rPr>
      <t xml:space="preserve">の仕事【ショート】</t>
    </r>
  </si>
  <si>
    <r>
      <rPr>
        <sz val="10"/>
        <rFont val="Noto Sans CJK SC"/>
        <family val="2"/>
      </rPr>
      <t xml:space="preserve">絶対に二度見される部屋着あげてけ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</si>
  <si>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ワイのキーボードの変な癖あげてけ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</si>
  <si>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t xml:space="preserve">実際には存在しないけどありそうな県名あげてけ【ショート】</t>
  </si>
  <si>
    <r>
      <rPr>
        <sz val="10"/>
        <rFont val="Noto Sans CJK SC"/>
        <family val="2"/>
      </rPr>
      <t xml:space="preserve">味の素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粒、実は何に使うのか？意外すぎる活用法をあげてけｗ【ショート】</t>
    </r>
  </si>
  <si>
    <r>
      <rPr>
        <sz val="10"/>
        <rFont val="Noto Sans CJK SC"/>
        <family val="2"/>
      </rPr>
      <t xml:space="preserve">存在しないゲームの迷惑機能あげてけ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</si>
  <si>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SCP-7004</t>
    </r>
    <r>
      <rPr>
        <sz val="10"/>
        <rFont val="Noto Sans CJK SC"/>
        <family val="2"/>
      </rPr>
      <t xml:space="preserve">「終末の観測者」— 収容都市は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日で住民全員を失った【最後の記録】【ショート】</t>
    </r>
  </si>
  <si>
    <r>
      <rPr>
        <sz val="10"/>
        <rFont val="Noto Sans CJK SC"/>
        <family val="2"/>
      </rPr>
      <t xml:space="preserve">なぜあなたは階段で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段だけ外すのか？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</si>
  <si>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#98</t>
    </r>
    <r>
      <rPr>
        <sz val="10"/>
        <rFont val="Noto Sans CJK SC"/>
        <family val="2"/>
      </rPr>
      <t xml:space="preserve">：🌍なぜ歩くと腕と足は逆に動くのか？あなたの体が毎秒行う回転制御の正体【ショート】</t>
    </r>
  </si>
  <si>
    <r>
      <rPr>
        <sz val="10"/>
        <rFont val="Noto Sans CJK SC"/>
        <family val="2"/>
      </rPr>
      <t xml:space="preserve">📈動画作りに課金しすぎた男、年収</t>
    </r>
    <r>
      <rPr>
        <sz val="10"/>
        <rFont val="Arial"/>
        <family val="0"/>
        <charset val="1"/>
      </rPr>
      <t xml:space="preserve">480</t>
    </r>
    <r>
      <rPr>
        <sz val="10"/>
        <rFont val="Noto Sans CJK SC"/>
        <family val="2"/>
      </rPr>
      <t xml:space="preserve">万円で転職できる？【ショート】</t>
    </r>
  </si>
  <si>
    <r>
      <rPr>
        <sz val="10"/>
        <rFont val="Noto Sans CJK SC"/>
        <family val="2"/>
      </rPr>
      <t xml:space="preserve">なぜ今飲んだ炭酸は鼻までツーンとするのか？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秒の刺激ルート【ショート】</t>
    </r>
  </si>
  <si>
    <r>
      <rPr>
        <sz val="10"/>
        <rFont val="Noto Sans CJK SC"/>
        <family val="2"/>
      </rPr>
      <t xml:space="preserve">ワイ、</t>
    </r>
    <r>
      <rPr>
        <sz val="10"/>
        <rFont val="Arial"/>
        <family val="0"/>
        <charset val="1"/>
      </rPr>
      <t xml:space="preserve">GTA6</t>
    </r>
    <r>
      <rPr>
        <sz val="10"/>
        <rFont val="Noto Sans CJK SC"/>
        <family val="2"/>
      </rPr>
      <t xml:space="preserve">妄想歴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w💦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</si>
  <si>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秒でバレる？お前らをブラックラグーンで例えた結果【ショート】</t>
    </r>
  </si>
  <si>
    <t xml:space="preserve">コンビニで一番いらん商品あげてけ【ショート】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</si>
  <si>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#9</t>
    </r>
    <r>
      <rPr>
        <sz val="10"/>
        <rFont val="Noto Sans CJK SC"/>
        <family val="2"/>
      </rPr>
      <t xml:space="preserve">：🎮カイオーガとグラードン、天候を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回張ったらどっちが勝つ？【ショート】</t>
    </r>
  </si>
  <si>
    <r>
      <rPr>
        <sz val="10"/>
        <rFont val="Arial"/>
        <family val="0"/>
        <charset val="1"/>
      </rPr>
      <t xml:space="preserve">SCP-1690</t>
    </r>
    <r>
      <rPr>
        <sz val="10"/>
        <rFont val="Noto Sans CJK SC"/>
        <family val="2"/>
      </rPr>
      <t xml:space="preserve">「廃棄された文明の記録」— 発掘地点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か所、通信断絶から</t>
    </r>
    <r>
      <rPr>
        <sz val="10"/>
        <rFont val="Arial"/>
        <family val="0"/>
        <charset val="1"/>
      </rPr>
      <t xml:space="preserve">83</t>
    </r>
    <r>
      <rPr>
        <sz val="10"/>
        <rFont val="Noto Sans CJK SC"/>
        <family val="2"/>
      </rPr>
      <t xml:space="preserve">年後に収容【ショート】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</si>
  <si>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#100</t>
    </r>
    <r>
      <rPr>
        <sz val="10"/>
        <rFont val="Noto Sans CJK SC"/>
        <family val="2"/>
      </rPr>
      <t xml:space="preserve">：🧬なぜあなたはポケモンの夢で技まで使える？</t>
    </r>
    <r>
      <rPr>
        <sz val="10"/>
        <rFont val="Arial"/>
        <family val="0"/>
        <charset val="1"/>
      </rPr>
      <t xml:space="preserve">REM</t>
    </r>
    <r>
      <rPr>
        <sz val="10"/>
        <rFont val="Noto Sans CJK SC"/>
        <family val="2"/>
      </rPr>
      <t xml:space="preserve">睡眠</t>
    </r>
    <r>
      <rPr>
        <sz val="10"/>
        <rFont val="Arial"/>
        <family val="0"/>
        <charset val="1"/>
      </rPr>
      <t xml:space="preserve">90</t>
    </r>
    <r>
      <rPr>
        <sz val="10"/>
        <rFont val="Noto Sans CJK SC"/>
        <family val="2"/>
      </rPr>
      <t xml:space="preserve">分にある記憶の正体【ショート】</t>
    </r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</si>
  <si>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PS</t>
    </r>
    <r>
      <rPr>
        <sz val="10"/>
        <rFont val="Noto Sans CJK SC"/>
        <family val="2"/>
      </rPr>
      <t xml:space="preserve">で一番いらないゲームが生まれるのか？ 博牛【ショート】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</si>
  <si>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#18</t>
    </r>
    <r>
      <rPr>
        <sz val="10"/>
        <rFont val="Noto Sans CJK SC"/>
        <family val="2"/>
      </rPr>
      <t xml:space="preserve">：👁️エンマ大王に隠された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つの条件、あなたは本当に仲間にできる？【ショート】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</si>
  <si>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#20</t>
    </r>
    <r>
      <rPr>
        <sz val="10"/>
        <rFont val="Noto Sans CJK SC"/>
        <family val="2"/>
      </rPr>
      <t xml:space="preserve">：👀</t>
    </r>
    <r>
      <rPr>
        <sz val="10"/>
        <rFont val="Arial"/>
        <family val="0"/>
        <charset val="1"/>
      </rPr>
      <t xml:space="preserve">GU</t>
    </r>
    <r>
      <rPr>
        <sz val="10"/>
        <rFont val="Noto Sans CJK SC"/>
        <family val="2"/>
      </rPr>
      <t xml:space="preserve">ポケモンコラボに隠された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つの秘密、ピカチュウだけじゃない理由は？❓【ショート】</t>
    </r>
  </si>
  <si>
    <r>
      <rPr>
        <sz val="10"/>
        <rFont val="Noto Sans CJK SC"/>
        <family val="2"/>
      </rPr>
      <t xml:space="preserve">星野リゾートの推定年収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万円、業界平均と比べると？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</si>
  <si>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#91</t>
    </r>
    <r>
      <rPr>
        <sz val="10"/>
        <rFont val="Noto Sans CJK SC"/>
        <family val="2"/>
      </rPr>
      <t xml:space="preserve">：💯なぜ人混みであなたの名前だけ聞こえるのか？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秒の選別💯【ショート】</t>
    </r>
  </si>
  <si>
    <r>
      <rPr>
        <sz val="10"/>
        <rFont val="Noto Sans CJK SC"/>
        <family val="2"/>
      </rPr>
      <t xml:space="preserve">トヨタ</t>
    </r>
    <r>
      <rPr>
        <sz val="10"/>
        <rFont val="Arial"/>
        <family val="0"/>
        <charset val="1"/>
      </rPr>
      <t xml:space="preserve">895</t>
    </r>
    <r>
      <rPr>
        <sz val="10"/>
        <rFont val="Noto Sans CJK SC"/>
        <family val="2"/>
      </rPr>
      <t xml:space="preserve">万円の実態、ルーミー人気を支える社員の本音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</si>
  <si>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なぜ正座を崩した瞬間だけビリビリするのか？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秒の正体【ショート】</t>
    </r>
  </si>
  <si>
    <r>
      <rPr>
        <sz val="10"/>
        <rFont val="Noto Sans CJK SC"/>
        <family val="2"/>
      </rPr>
      <t xml:space="preserve">本を開いた瞬間に眠くなる理由集中しているのに眠い『逆説』の正体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本を読むと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の人が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分以内に眠くなる——その『睡魔の罠』の正体、知ってる？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ゆっくり解説</t>
    </r>
  </si>
  <si>
    <r>
      <rPr>
        <sz val="10"/>
        <rFont val="Noto Sans CJK SC"/>
        <family val="2"/>
      </rPr>
      <t xml:space="preserve">📉サイバーエージェントの年収</t>
    </r>
    <r>
      <rPr>
        <sz val="10"/>
        <rFont val="Arial"/>
        <family val="0"/>
        <charset val="1"/>
      </rPr>
      <t xml:space="preserve">773</t>
    </r>
    <r>
      <rPr>
        <sz val="10"/>
        <rFont val="Noto Sans CJK SC"/>
        <family val="2"/>
      </rPr>
      <t xml:space="preserve">万円、平均年齢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歳の本当は【ショート】</t>
    </r>
  </si>
  <si>
    <r>
      <rPr>
        <sz val="10"/>
        <rFont val="Noto Sans CJK SC"/>
        <family val="2"/>
      </rPr>
      <t xml:space="preserve">セブン銀行の年間休日</t>
    </r>
    <r>
      <rPr>
        <sz val="10"/>
        <rFont val="Arial"/>
        <family val="0"/>
        <charset val="1"/>
      </rPr>
      <t xml:space="preserve">130</t>
    </r>
    <r>
      <rPr>
        <sz val="10"/>
        <rFont val="Noto Sans CJK SC"/>
        <family val="2"/>
      </rPr>
      <t xml:space="preserve">日、平均年収も数字で解説【ショート】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</si>
  <si>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#10</t>
    </r>
    <r>
      <rPr>
        <sz val="10"/>
        <rFont val="Noto Sans CJK SC"/>
        <family val="2"/>
      </rPr>
      <t xml:space="preserve">：🔥あなたの飲み物を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時間守るポケモン、なぜ存在する？【ショート】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</si>
  <si>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#19</t>
    </r>
    <r>
      <rPr>
        <sz val="10"/>
        <rFont val="Noto Sans CJK SC"/>
        <family val="2"/>
      </rPr>
      <t xml:space="preserve">：👁️フユニャンに隠された秘密、あなたが知らない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つの元ネタとは？【ショート】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</si>
  <si>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#98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SCP-1048</t>
    </r>
    <r>
      <rPr>
        <sz val="10"/>
        <rFont val="Noto Sans CJK SC"/>
        <family val="2"/>
      </rPr>
      <t xml:space="preserve">「ビルダーベア」</t>
    </r>
    <r>
      <rPr>
        <sz val="10"/>
        <rFont val="Arial"/>
        <family val="0"/>
        <charset val="1"/>
      </rPr>
      <t xml:space="preserve">Safe</t>
    </r>
    <r>
      <rPr>
        <sz val="10"/>
        <rFont val="Noto Sans CJK SC"/>
        <family val="2"/>
      </rPr>
      <t xml:space="preserve">判定が招いた収容違反の恐怖😱【ショート】</t>
    </r>
  </si>
  <si>
    <r>
      <rPr>
        <sz val="10"/>
        <rFont val="Noto Sans CJK SC"/>
        <family val="2"/>
      </rPr>
      <t xml:space="preserve">雪女が去り際に名を呼ぶ理由…約束を破った男の末路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</si>
  <si>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ふぶき姫の約束を破るとどうなる？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つの雪女記録【ショート】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</si>
  <si>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#21</t>
    </r>
    <r>
      <rPr>
        <sz val="10"/>
        <rFont val="Noto Sans CJK SC"/>
        <family val="2"/>
      </rPr>
      <t xml:space="preserve">：👀カビゴンが道を塞ぐ理由に隠された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日の秘密、あなたは気づいた？🔍【ショート】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</si>
  <si>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#101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</t>
    </r>
    <r>
      <rPr>
        <sz val="10"/>
        <rFont val="Noto Sans CJK SC"/>
        <family val="2"/>
      </rPr>
      <t xml:space="preserve">雷撃記録、あなたの部屋まで届く落雷恐怖【ショート】</t>
    </r>
  </si>
  <si>
    <r>
      <rPr>
        <sz val="10"/>
        <rFont val="Noto Sans CJK SC"/>
        <family val="2"/>
      </rPr>
      <t xml:space="preserve">日本マクドナルドの年収</t>
    </r>
    <r>
      <rPr>
        <sz val="10"/>
        <rFont val="Arial"/>
        <family val="0"/>
        <charset val="1"/>
      </rPr>
      <t xml:space="preserve">576</t>
    </r>
    <r>
      <rPr>
        <sz val="10"/>
        <rFont val="Noto Sans CJK SC"/>
        <family val="2"/>
      </rPr>
      <t xml:space="preserve">万円、その内訳とは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</si>
  <si>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航空自衛隊千歳の正体、年収</t>
    </r>
    <r>
      <rPr>
        <sz val="10"/>
        <rFont val="Arial"/>
        <family val="0"/>
        <charset val="1"/>
      </rPr>
      <t xml:space="preserve">400</t>
    </r>
    <r>
      <rPr>
        <sz val="10"/>
        <rFont val="Noto Sans CJK SC"/>
        <family val="2"/>
      </rPr>
      <t xml:space="preserve">万円台の実態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</si>
  <si>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エースバーンのリベロ、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試合でしか変われない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</si>
  <si>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鏡の顔だけ違う？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が知らない左右差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</si>
  <si>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#110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SCP-███</t>
    </r>
    <r>
      <rPr>
        <sz val="10"/>
        <rFont val="Noto Sans CJK SC"/>
        <family val="2"/>
      </rPr>
      <t xml:space="preserve">「投稿者の編集室」君の部屋にも現れる課金地獄の恐怖💀【ショート】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</si>
  <si>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#12</t>
    </r>
    <r>
      <rPr>
        <sz val="10"/>
        <rFont val="Noto Sans CJK SC"/>
        <family val="2"/>
      </rPr>
      <t xml:space="preserve">：👁️両面宿儺に隠された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つの秘密、君は古文書の正体を知ってる？【ショート】</t>
    </r>
  </si>
  <si>
    <r>
      <rPr>
        <sz val="10"/>
        <rFont val="Noto Sans CJK SC"/>
        <family val="2"/>
      </rPr>
      <t xml:space="preserve">無印良品の正社員待遇、年間休日</t>
    </r>
    <r>
      <rPr>
        <sz val="10"/>
        <rFont val="Arial"/>
        <family val="0"/>
        <charset val="1"/>
      </rPr>
      <t xml:space="preserve">123</t>
    </r>
    <r>
      <rPr>
        <sz val="10"/>
        <rFont val="Noto Sans CJK SC"/>
        <family val="2"/>
      </rPr>
      <t xml:space="preserve">日の実態【ショート】</t>
    </r>
  </si>
  <si>
    <r>
      <rPr>
        <sz val="10"/>
        <rFont val="Arial"/>
        <family val="0"/>
        <charset val="1"/>
      </rPr>
      <t xml:space="preserve">SCP-701</t>
    </r>
    <r>
      <rPr>
        <sz val="10"/>
        <rFont val="Noto Sans CJK SC"/>
        <family val="2"/>
      </rPr>
      <t xml:space="preserve">「吊られた王の悲劇」— 上演記録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件、観客の生存率は</t>
    </r>
    <r>
      <rPr>
        <sz val="10"/>
        <rFont val="Arial"/>
        <family val="0"/>
        <charset val="1"/>
      </rPr>
      <t xml:space="preserve">21%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</si>
  <si>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秒で考えろ！この戦闘機の名前が親戚回避型な理由とは？【ショート】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</si>
  <si>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秒で凍結何言った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</si>
  <si>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なぜ熱闘甲子園の夜だけ空気が変わる？お前らの夏の思い出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つ聞かせろ【ショート】</t>
    </r>
  </si>
  <si>
    <t xml:space="preserve">実は迷子続出？ドラゴンボールパークで何が起きたのか【ショート】</t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</si>
  <si>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#92</t>
    </r>
    <r>
      <rPr>
        <sz val="10"/>
        <rFont val="Noto Sans CJK SC"/>
        <family val="2"/>
      </rPr>
      <t xml:space="preserve">：👁️</t>
    </r>
    <r>
      <rPr>
        <sz val="10"/>
        <rFont val="Arial"/>
        <family val="0"/>
        <charset val="1"/>
      </rPr>
      <t xml:space="preserve">SCP-3120</t>
    </r>
    <r>
      <rPr>
        <sz val="10"/>
        <rFont val="Noto Sans CJK SC"/>
        <family val="2"/>
      </rPr>
      <t xml:space="preserve">「異常な戦闘機」— 試験飛行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回、操縦席から帰還した隊員は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名だった【ショート】</t>
    </r>
  </si>
  <si>
    <r>
      <rPr>
        <sz val="10"/>
        <rFont val="Noto Sans CJK SC"/>
        <family val="2"/>
      </rPr>
      <t xml:space="preserve">🤣ワイ、大谷の昼飯を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秒で当てるスレ</t>
    </r>
    <r>
      <rPr>
        <sz val="10"/>
        <rFont val="Arial"/>
        <family val="0"/>
        <charset val="1"/>
      </rPr>
      <t xml:space="preserve">w🤣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</si>
  <si>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#106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MTF</t>
    </r>
    <r>
      <rPr>
        <sz val="10"/>
        <rFont val="Noto Sans CJK SC"/>
        <family val="2"/>
      </rPr>
      <t xml:space="preserve">アルファからオメガ、あなたの部屋にも来る財団極秘作戦の恐怖💀【ショート】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</si>
  <si>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#89</t>
    </r>
    <r>
      <rPr>
        <sz val="10"/>
        <rFont val="Noto Sans CJK SC"/>
        <family val="2"/>
      </rPr>
      <t xml:space="preserve">：💯なぜあなたは寝る直前だけ昔の失敗を思い出すのか？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秒の脳内変化【ショート】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</si>
  <si>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回目の店謎の予約名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</si>
  <si>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ワイ、サーモス歴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w😏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</si>
  <si>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なぜ友達の風呂で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回もやらかしたのか？ｗ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</si>
  <si>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#95</t>
    </r>
    <r>
      <rPr>
        <sz val="10"/>
        <rFont val="Noto Sans CJK SC"/>
        <family val="2"/>
      </rPr>
      <t xml:space="preserve">：🧪なぜ雷鳴の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秒前から体が固まるのか？あなたの脳に起きる反応の正体🧬【ショート】</t>
    </r>
  </si>
  <si>
    <r>
      <rPr>
        <sz val="10"/>
        <rFont val="Noto Sans CJK SC"/>
        <family val="2"/>
      </rPr>
      <t xml:space="preserve">なぜ航路の先で記録が消えるのか？</t>
    </r>
    <r>
      <rPr>
        <sz val="10"/>
        <rFont val="Arial"/>
        <family val="0"/>
        <charset val="1"/>
      </rPr>
      <t xml:space="preserve">SCP-1783-JP</t>
    </r>
    <r>
      <rPr>
        <sz val="10"/>
        <rFont val="Noto Sans CJK SC"/>
        <family val="2"/>
      </rPr>
      <t xml:space="preserve">の本当の恐怖【ショート】</t>
    </r>
  </si>
  <si>
    <r>
      <rPr>
        <sz val="10"/>
        <rFont val="Noto Sans CJK SC"/>
        <family val="2"/>
      </rPr>
      <t xml:space="preserve">あなたの耳が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秒で抜ける正体は？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</si>
  <si>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君のサンダースだけ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個必要だった時代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</si>
  <si>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#19</t>
    </r>
    <r>
      <rPr>
        <sz val="10"/>
        <rFont val="Noto Sans CJK SC"/>
        <family val="2"/>
      </rPr>
      <t xml:space="preserve">：🕵️ケッキングに隠された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ターンの秘密、種族値</t>
    </r>
    <r>
      <rPr>
        <sz val="10"/>
        <rFont val="Arial"/>
        <family val="0"/>
        <charset val="1"/>
      </rPr>
      <t xml:space="preserve">670</t>
    </r>
    <r>
      <rPr>
        <sz val="10"/>
        <rFont val="Noto Sans CJK SC"/>
        <family val="2"/>
      </rPr>
      <t xml:space="preserve">なのになぜ使えない？【ショート】</t>
    </r>
  </si>
  <si>
    <r>
      <rPr>
        <sz val="10"/>
        <rFont val="Noto Sans CJK SC"/>
        <family val="2"/>
      </rPr>
      <t xml:space="preserve">🤣ワイ、落雷を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秒で見たんやが質問ある？</t>
    </r>
    <r>
      <rPr>
        <sz val="10"/>
        <rFont val="Arial"/>
        <family val="0"/>
        <charset val="1"/>
      </rPr>
      <t xml:space="preserve">w🍑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</si>
  <si>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SCP-055</t>
    </r>
    <r>
      <rPr>
        <sz val="10"/>
        <rFont val="Noto Sans CJK SC"/>
        <family val="2"/>
      </rPr>
      <t xml:space="preserve">の報告書に残った奇妙な空欄とは？【ショート】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</si>
  <si>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#15</t>
    </r>
    <r>
      <rPr>
        <sz val="10"/>
        <rFont val="Noto Sans CJK SC"/>
        <family val="2"/>
      </rPr>
      <t xml:space="preserve">：👀シャンデラに隠された秘密、なぜ霊タイプ？君が知らない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つの由来【ショート】</t>
    </r>
  </si>
  <si>
    <r>
      <rPr>
        <sz val="10"/>
        <rFont val="Noto Sans CJK SC"/>
        <family val="2"/>
      </rPr>
      <t xml:space="preserve">なぜ親は無言で机を閉めたのか…見つかって終わった物とは？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</si>
  <si>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t xml:space="preserve">実は家族に見られた通販履歴…一番言い訳できない理由は？【ショート】</t>
  </si>
  <si>
    <r>
      <rPr>
        <sz val="10"/>
        <rFont val="Arial"/>
        <family val="0"/>
        <charset val="1"/>
      </rPr>
      <t xml:space="preserve">SCP-2006 </t>
    </r>
    <r>
      <rPr>
        <sz val="10"/>
        <rFont val="Noto Sans CJK SC"/>
        <family val="2"/>
      </rPr>
      <t xml:space="preserve">笑い声を聞いた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名に起きた異変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</si>
  <si>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あなたの字が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秒で別物に見える？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</si>
  <si>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なぜ非常灯が消えた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秒に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人目の足音がしたのか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</si>
  <si>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ピカチュウは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なのになぜ看板？【ショート】</t>
    </r>
  </si>
  <si>
    <r>
      <rPr>
        <sz val="10"/>
        <rFont val="Noto Sans CJK SC"/>
        <family val="2"/>
      </rPr>
      <t xml:space="preserve">💦ワイ、夫が寝た後の秘密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つあげてけ</t>
    </r>
    <r>
      <rPr>
        <sz val="10"/>
        <rFont val="Arial"/>
        <family val="0"/>
        <charset val="1"/>
      </rPr>
      <t xml:space="preserve">w🤣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</si>
  <si>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SCP-2525</t>
    </r>
    <r>
      <rPr>
        <sz val="10"/>
        <rFont val="Noto Sans CJK SC"/>
        <family val="2"/>
      </rPr>
      <t xml:space="preserve">「異常なゲーム」— 死亡記録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件、勝利条件は未達成【ショート】</t>
    </r>
  </si>
  <si>
    <r>
      <rPr>
        <sz val="10"/>
        <rFont val="Noto Sans CJK SC"/>
        <family val="2"/>
      </rPr>
      <t xml:space="preserve">泳いでいる脳が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秒ごとに息継ぎを気にするワケ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</si>
  <si>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#17</t>
    </r>
    <r>
      <rPr>
        <sz val="10"/>
        <rFont val="Noto Sans CJK SC"/>
        <family val="2"/>
      </rPr>
      <t xml:space="preserve">：👀ミュウツーに隠された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手先の秘密、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はなぜ交代を読める？【ショート】</t>
    </r>
  </si>
  <si>
    <r>
      <rPr>
        <sz val="10"/>
        <rFont val="Noto Sans CJK SC"/>
        <family val="2"/>
      </rPr>
      <t xml:space="preserve">今夜あなたが寝返りした瞬間、なぜ</t>
    </r>
    <r>
      <rPr>
        <sz val="10"/>
        <rFont val="Arial"/>
        <family val="0"/>
        <charset val="1"/>
      </rPr>
      <t xml:space="preserve">0.8</t>
    </r>
    <r>
      <rPr>
        <sz val="10"/>
        <rFont val="Noto Sans CJK SC"/>
        <family val="2"/>
      </rPr>
      <t xml:space="preserve">秒だけ目が覚める？実は眠りが消える前の脳内チェック【ショート】</t>
    </r>
  </si>
  <si>
    <r>
      <rPr>
        <sz val="10"/>
        <rFont val="Noto Sans CJK SC"/>
        <family val="2"/>
      </rPr>
      <t xml:space="preserve">🤯ワイ、友達の家でヤバい物を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個見たんやが</t>
    </r>
    <r>
      <rPr>
        <sz val="10"/>
        <rFont val="Arial"/>
        <family val="0"/>
        <charset val="1"/>
      </rPr>
      <t xml:space="preserve">w🤯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</si>
  <si>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#102</t>
    </r>
    <r>
      <rPr>
        <sz val="10"/>
        <rFont val="Noto Sans CJK SC"/>
        <family val="2"/>
      </rPr>
      <t xml:space="preserve">：🌍なぜ寝起きの口だけネバつくのか？あなたの唾液が眠る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時間の正体【ショート】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</si>
  <si>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#14</t>
    </r>
    <r>
      <rPr>
        <sz val="10"/>
        <rFont val="Noto Sans CJK SC"/>
        <family val="2"/>
      </rPr>
      <t xml:space="preserve">：👀ロケット団に隠された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つの秘密、あなたは本当の目的を知ってる？【ショート】</t>
    </r>
  </si>
  <si>
    <r>
      <rPr>
        <sz val="10"/>
        <rFont val="Noto Sans CJK SC"/>
        <family val="2"/>
      </rPr>
      <t xml:space="preserve">彼女の家で開けたらアカン引き出し開けたんやが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</si>
  <si>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正体を大人が知る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秒の言葉あげてけ</t>
    </r>
    <r>
      <rPr>
        <sz val="10"/>
        <rFont val="Arial"/>
        <family val="0"/>
        <charset val="1"/>
      </rPr>
      <t xml:space="preserve">w😂 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</si>
  <si>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寝てる間だけ成長する？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が知らない夜の体の秘密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寝ている間だけ分泌される『あのホルモン』——なぜ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の人が睡眠中にしか成長できないのか？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ゆっくり解説</t>
    </r>
  </si>
  <si>
    <r>
      <rPr>
        <sz val="10"/>
        <rFont val="Noto Sans CJK SC"/>
        <family val="2"/>
      </rPr>
      <t xml:space="preserve">財団が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年間隠し続けた接近者</t>
    </r>
    <r>
      <rPr>
        <sz val="10"/>
        <rFont val="Arial"/>
        <family val="0"/>
        <charset val="1"/>
      </rPr>
      <t xml:space="preserve">19</t>
    </r>
    <r>
      <rPr>
        <sz val="10"/>
        <rFont val="Noto Sans CJK SC"/>
        <family val="2"/>
      </rPr>
      <t xml:space="preserve">名・生存率</t>
    </r>
    <r>
      <rPr>
        <sz val="10"/>
        <rFont val="Arial"/>
        <family val="0"/>
        <charset val="1"/>
      </rPr>
      <t xml:space="preserve">0%——</t>
    </r>
    <r>
      <rPr>
        <sz val="10"/>
        <rFont val="Noto Sans CJK SC"/>
        <family val="2"/>
      </rPr>
      <t xml:space="preserve">湖で名前を失った本当の理由【ショート】</t>
    </r>
  </si>
  <si>
    <r>
      <rPr>
        <sz val="10"/>
        <rFont val="Noto Sans CJK SC"/>
        <family val="2"/>
      </rPr>
      <t xml:space="preserve">なぜ今夜、布団で足だけ熱い？</t>
    </r>
    <r>
      <rPr>
        <sz val="10"/>
        <rFont val="Arial"/>
        <family val="0"/>
        <charset val="1"/>
      </rPr>
      <t xml:space="preserve">90%</t>
    </r>
    <r>
      <rPr>
        <sz val="10"/>
        <rFont val="Noto Sans CJK SC"/>
        <family val="2"/>
      </rPr>
      <t xml:space="preserve">が勘違いする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分の放熱の正体【ショート】</t>
    </r>
  </si>
  <si>
    <r>
      <rPr>
        <sz val="10"/>
        <rFont val="Noto Sans CJK SC"/>
        <family val="2"/>
      </rPr>
      <t xml:space="preserve">なぜ今目を閉じるとふらつくのか？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が知らない最初の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秒の平衡感覚【ショート】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</si>
  <si>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#109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SCP-2480</t>
    </r>
    <r>
      <rPr>
        <sz val="10"/>
        <rFont val="Noto Sans CJK SC"/>
        <family val="2"/>
      </rPr>
      <t xml:space="preserve">「未完の儀式」記録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名だけが残った収容不能の恐怖【ショート】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</si>
  <si>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#12</t>
    </r>
    <r>
      <rPr>
        <sz val="10"/>
        <rFont val="Noto Sans CJK SC"/>
        <family val="2"/>
      </rPr>
      <t xml:space="preserve">：💧サーナイトとエルレイド、君はなぜ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つの攻撃で迷う？【ショート】</t>
    </r>
  </si>
  <si>
    <r>
      <rPr>
        <sz val="10"/>
        <rFont val="Noto Sans CJK SC"/>
        <family val="2"/>
      </rPr>
      <t xml:space="preserve">黙読中の喉、なぜ声なしで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秒だけ動く？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</si>
  <si>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なんか靴下だけ消えるんやが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</si>
  <si>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#13</t>
    </r>
    <r>
      <rPr>
        <sz val="10"/>
        <rFont val="Noto Sans CJK SC"/>
        <family val="2"/>
      </rPr>
      <t xml:space="preserve">：👁️妖怪ウォッチ元祖に隠された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つの秘密、あなたは名前の意味に気づいた？【ショート】</t>
    </r>
  </si>
  <si>
    <r>
      <rPr>
        <sz val="10"/>
        <rFont val="Noto Sans CJK SC"/>
        <family val="2"/>
      </rPr>
      <t xml:space="preserve">なぜ辛い物で汗が出るのか？実は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割が勘違いする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秒の温度反応【ショート】</t>
    </r>
  </si>
  <si>
    <r>
      <rPr>
        <sz val="10"/>
        <rFont val="Noto Sans CJK SC"/>
        <family val="2"/>
      </rPr>
      <t xml:space="preserve">実は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秒で全生命が死んだ地球、その本当の理由はなぜ？【ショート】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</si>
  <si>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秒で消える？天狗と山伏、神隠しの本当の理由【ショート】</t>
    </r>
  </si>
  <si>
    <r>
      <rPr>
        <sz val="10"/>
        <rFont val="Noto Sans CJK SC"/>
        <family val="2"/>
      </rPr>
      <t xml:space="preserve">ワイ、アジア大会珍プレー歴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w🤣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</si>
  <si>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#16</t>
    </r>
    <r>
      <rPr>
        <sz val="10"/>
        <rFont val="Noto Sans CJK SC"/>
        <family val="2"/>
      </rPr>
      <t xml:space="preserve">：👁️妖怪ウォッチに隠された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つの秘密、大谷翔平と妖怪伝説の関係は？【ショート】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</si>
  <si>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#90</t>
    </r>
    <r>
      <rPr>
        <sz val="10"/>
        <rFont val="Noto Sans CJK SC"/>
        <family val="2"/>
      </rPr>
      <t xml:space="preserve">：💯なぜあなたの舌はやけど後だけ味が消える？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日の入れ替わり【ショート】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</si>
  <si>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#94</t>
    </r>
    <r>
      <rPr>
        <sz val="10"/>
        <rFont val="Noto Sans CJK SC"/>
        <family val="2"/>
      </rPr>
      <t xml:space="preserve">：🔒</t>
    </r>
    <r>
      <rPr>
        <sz val="10"/>
        <rFont val="Arial"/>
        <family val="0"/>
        <charset val="1"/>
      </rPr>
      <t xml:space="preserve">SCP-2306</t>
    </r>
    <r>
      <rPr>
        <sz val="10"/>
        <rFont val="Noto Sans CJK SC"/>
        <family val="2"/>
      </rPr>
      <t xml:space="preserve">「実在しない部屋」— 図面に無い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室、調査員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名の記録だけが残った⚠️【ショート】</t>
    </r>
  </si>
  <si>
    <r>
      <rPr>
        <sz val="10"/>
        <rFont val="Noto Sans CJK SC"/>
        <family val="2"/>
      </rPr>
      <t xml:space="preserve">なぜくしゃみの後だけ体が軽いのか？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割が知らない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秒間の神経反応【ショート】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</si>
  <si>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#7</t>
    </r>
    <r>
      <rPr>
        <sz val="10"/>
        <rFont val="Noto Sans CJK SC"/>
        <family val="2"/>
      </rPr>
      <t xml:space="preserve">：😰かまいたちの元ネタが怖すぎる — あなたが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秒で傷つく理由は？【ショート】</t>
    </r>
  </si>
  <si>
    <r>
      <rPr>
        <sz val="10"/>
        <rFont val="Noto Sans CJK SC"/>
        <family val="2"/>
      </rPr>
      <t xml:space="preserve">なぜ猫又の尻尾は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つ？実は老猫を恐れた江戸の記録が怖い【ショート】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</si>
  <si>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秒でわかる？ポリゴンがテレビから消えた本当の理由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</si>
  <si>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#22</t>
    </r>
    <r>
      <rPr>
        <sz val="10"/>
        <rFont val="Noto Sans CJK SC"/>
        <family val="2"/>
      </rPr>
      <t xml:space="preserve">：😨ラプラスに隠された秘密、図鑑の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文で人間側がヤバい？【ショート】</t>
    </r>
  </si>
  <si>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記録係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名が最後に揃って書いた</t>
    </r>
    <r>
      <rPr>
        <sz val="10"/>
        <rFont val="Arial"/>
        <family val="0"/>
        <charset val="1"/>
      </rPr>
      <t xml:space="preserve">42</t>
    </r>
    <r>
      <rPr>
        <sz val="10"/>
        <rFont val="Noto Sans CJK SC"/>
        <family val="2"/>
      </rPr>
      <t xml:space="preserve">字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</si>
  <si>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雪女が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日黙れと言う…実は誰にも言えない恐怖があった【ショート】</t>
    </r>
  </si>
  <si>
    <r>
      <rPr>
        <sz val="10"/>
        <rFont val="Noto Sans CJK SC"/>
        <family val="2"/>
      </rPr>
      <t xml:space="preserve">太陽系の番人</t>
    </r>
    <r>
      <rPr>
        <sz val="10"/>
        <rFont val="Arial"/>
        <family val="0"/>
        <charset val="1"/>
      </rPr>
      <t xml:space="preserve">SCP-179</t>
    </r>
    <r>
      <rPr>
        <sz val="10"/>
        <rFont val="Noto Sans CJK SC"/>
        <family val="2"/>
      </rPr>
      <t xml:space="preserve">が沈黙を恐れる理由【ショート】</t>
    </r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</si>
  <si>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持ち出した報告書が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日後に戻った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</si>
  <si>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なぜケンタッキー月見は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秒で秋の給料日になるのか、食べた感想あげてけ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</si>
  <si>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ポケモンセンターが治療費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円で成り立つ理由がヤバい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</si>
  <si>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🤣ワイ健康診断歴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年やけど正体ある</t>
    </r>
    <r>
      <rPr>
        <sz val="10"/>
        <rFont val="Arial"/>
        <family val="0"/>
        <charset val="1"/>
      </rPr>
      <t xml:space="preserve">w🍑 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</si>
  <si>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万円、実は株価上昇の裏側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</si>
  <si>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なぜ今、片方の手だけ冷たいのか？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割が見落とす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倍の血流差【ショート】</t>
    </r>
  </si>
  <si>
    <r>
      <rPr>
        <sz val="10"/>
        <rFont val="Noto Sans CJK SC"/>
        <family val="2"/>
      </rPr>
      <t xml:space="preserve">小豆洗いの正体 </t>
    </r>
    <r>
      <rPr>
        <sz val="10"/>
        <rFont val="Arial"/>
        <family val="0"/>
        <charset val="1"/>
      </rPr>
      <t xml:space="preserve">127</t>
    </r>
    <r>
      <rPr>
        <sz val="10"/>
        <rFont val="Noto Sans CJK SC"/>
        <family val="2"/>
      </rPr>
      <t xml:space="preserve">年の川音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</si>
  <si>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💦ワイ、同棲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年目やけど質問ある？💦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</si>
  <si>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御三家の相性が三すくみになったワケ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</si>
  <si>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雪夜に顔を隠す白粉婆…雪女とは違う恐ろしさ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</si>
  <si>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#18</t>
    </r>
    <r>
      <rPr>
        <sz val="10"/>
        <rFont val="Noto Sans CJK SC"/>
        <family val="2"/>
      </rPr>
      <t xml:space="preserve">：👀ポケモンタワーに隠された秘密、あなたが見落とす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つの違和感は？👀【ショート】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</si>
  <si>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#17</t>
    </r>
    <r>
      <rPr>
        <sz val="10"/>
        <rFont val="Noto Sans CJK SC"/>
        <family val="2"/>
      </rPr>
      <t xml:space="preserve">：❓妖怪ウォッチの将門伝説に隠された秘密、あなたが知らない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つの異変？🔍【ショート】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</si>
  <si>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#11</t>
    </r>
    <r>
      <rPr>
        <sz val="10"/>
        <rFont val="Noto Sans CJK SC"/>
        <family val="2"/>
      </rPr>
      <t xml:space="preserve">：🔍ぬらりひょんに隠された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つの秘密、あなたの知る総大将はいつ生まれた？【ショート】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</si>
  <si>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#14</t>
    </r>
    <r>
      <rPr>
        <sz val="10"/>
        <rFont val="Noto Sans CJK SC"/>
        <family val="2"/>
      </rPr>
      <t xml:space="preserve">：❓コマさんとコマじろうの秘密、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体で狛犬になる本当の理由は？【ショート】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</si>
  <si>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#107</t>
    </r>
    <r>
      <rPr>
        <sz val="10"/>
        <rFont val="Noto Sans CJK SC"/>
        <family val="2"/>
      </rPr>
      <t xml:space="preserve">：🫣</t>
    </r>
    <r>
      <rPr>
        <sz val="10"/>
        <rFont val="Arial"/>
        <family val="0"/>
        <charset val="1"/>
      </rPr>
      <t xml:space="preserve">SCP-4885</t>
    </r>
    <r>
      <rPr>
        <sz val="10"/>
        <rFont val="Noto Sans CJK SC"/>
        <family val="2"/>
      </rPr>
      <t xml:space="preserve">「ジョン・ウィルクス・ブース」写真を見るあなたへ迫る恐怖【ショート】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</si>
  <si>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#97</t>
    </r>
    <r>
      <rPr>
        <sz val="10"/>
        <rFont val="Noto Sans CJK SC"/>
        <family val="2"/>
      </rPr>
      <t xml:space="preserve">：💀</t>
    </r>
    <r>
      <rPr>
        <sz val="10"/>
        <rFont val="Arial"/>
        <family val="0"/>
        <charset val="1"/>
      </rPr>
      <t xml:space="preserve">SCP-3002</t>
    </r>
    <r>
      <rPr>
        <sz val="10"/>
        <rFont val="Noto Sans CJK SC"/>
        <family val="2"/>
      </rPr>
      <t xml:space="preserve">「情報災害」あなたの記憶まで消す報告書の恐怖【ショート】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</si>
  <si>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：目撃者</t>
    </r>
    <r>
      <rPr>
        <sz val="10"/>
        <rFont val="Arial"/>
        <family val="0"/>
        <charset val="1"/>
      </rPr>
      <t xml:space="preserve">47</t>
    </r>
    <r>
      <rPr>
        <sz val="10"/>
        <rFont val="Noto Sans CJK SC"/>
        <family val="2"/>
      </rPr>
      <t xml:space="preserve">名／精神的生存率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財団が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年間『視覚汚染』と呼んだ理由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財団が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年間隠し続けた視覚汚染体——目撃者全員が廃人化、生存率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の本当の理由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ゆっくり解説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</si>
  <si>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#91</t>
    </r>
    <r>
      <rPr>
        <sz val="10"/>
        <rFont val="Noto Sans CJK SC"/>
        <family val="2"/>
      </rPr>
      <t xml:space="preserve">：⚠️</t>
    </r>
    <r>
      <rPr>
        <sz val="10"/>
        <rFont val="Arial"/>
        <family val="0"/>
        <charset val="1"/>
      </rPr>
      <t xml:space="preserve">SCP-1523-JP</t>
    </r>
    <r>
      <rPr>
        <sz val="10"/>
        <rFont val="Noto Sans CJK SC"/>
        <family val="2"/>
      </rPr>
      <t xml:space="preserve">「かまいたち」— 被害記録</t>
    </r>
    <r>
      <rPr>
        <sz val="10"/>
        <rFont val="Arial"/>
        <family val="0"/>
        <charset val="1"/>
      </rPr>
      <t xml:space="preserve">17</t>
    </r>
    <r>
      <rPr>
        <sz val="10"/>
        <rFont val="Noto Sans CJK SC"/>
        <family val="2"/>
      </rPr>
      <t xml:space="preserve">件、傷だけ残った夜【ショート】</t>
    </r>
  </si>
  <si>
    <r>
      <rPr>
        <sz val="10"/>
        <rFont val="Noto Sans CJK SC"/>
        <family val="2"/>
      </rPr>
      <t xml:space="preserve">一口</t>
    </r>
    <r>
      <rPr>
        <sz val="10"/>
        <rFont val="Arial"/>
        <family val="0"/>
        <charset val="1"/>
      </rPr>
      <t xml:space="preserve">SCP #93</t>
    </r>
    <r>
      <rPr>
        <sz val="10"/>
        <rFont val="Noto Sans CJK SC"/>
        <family val="2"/>
      </rPr>
      <t xml:space="preserve">：⚠️</t>
    </r>
    <r>
      <rPr>
        <sz val="10"/>
        <rFont val="Arial"/>
        <family val="0"/>
        <charset val="1"/>
      </rPr>
      <t xml:space="preserve">SCP-1689</t>
    </r>
    <r>
      <rPr>
        <sz val="10"/>
        <rFont val="Noto Sans CJK SC"/>
        <family val="2"/>
      </rPr>
      <t xml:space="preserve">「黒いジャガイモ」— 摂取実験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件、帰還率</t>
    </r>
    <r>
      <rPr>
        <sz val="10"/>
        <rFont val="Arial"/>
        <family val="0"/>
        <charset val="1"/>
      </rPr>
      <t xml:space="preserve">0%</t>
    </r>
    <r>
      <rPr>
        <sz val="10"/>
        <rFont val="Noto Sans CJK SC"/>
        <family val="2"/>
      </rPr>
      <t xml:space="preserve">だった【ショート】</t>
    </r>
  </si>
  <si>
    <r>
      <rPr>
        <sz val="10"/>
        <rFont val="Noto Sans CJK SC"/>
        <family val="2"/>
      </rPr>
      <t xml:space="preserve">⚠️三菱重工の年収がヤバい 平均</t>
    </r>
    <r>
      <rPr>
        <sz val="10"/>
        <rFont val="Arial"/>
        <family val="0"/>
        <charset val="1"/>
      </rPr>
      <t xml:space="preserve">965</t>
    </r>
    <r>
      <rPr>
        <sz val="10"/>
        <rFont val="Noto Sans CJK SC"/>
        <family val="2"/>
      </rPr>
      <t xml:space="preserve">万円、その裏側【ショート】</t>
    </r>
  </si>
  <si>
    <r>
      <rPr>
        <sz val="10"/>
        <rFont val="Noto Sans CJK SC"/>
        <family val="2"/>
      </rPr>
      <t xml:space="preserve">伊藤忠商事の年収</t>
    </r>
    <r>
      <rPr>
        <sz val="10"/>
        <rFont val="Arial"/>
        <family val="0"/>
        <charset val="1"/>
      </rPr>
      <t xml:space="preserve">850</t>
    </r>
    <r>
      <rPr>
        <sz val="10"/>
        <rFont val="Noto Sans CJK SC"/>
        <family val="2"/>
      </rPr>
      <t xml:space="preserve">万円がヤバい、離職率</t>
    </r>
    <r>
      <rPr>
        <sz val="10"/>
        <rFont val="Arial"/>
        <family val="0"/>
        <charset val="1"/>
      </rPr>
      <t xml:space="preserve">1%</t>
    </r>
    <r>
      <rPr>
        <sz val="10"/>
        <rFont val="Noto Sans CJK SC"/>
        <family val="2"/>
      </rPr>
      <t xml:space="preserve">台の実態【ショート】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</si>
  <si>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#101</t>
    </r>
    <r>
      <rPr>
        <sz val="10"/>
        <rFont val="Noto Sans CJK SC"/>
        <family val="2"/>
      </rPr>
      <t xml:space="preserve">：🧪なぜ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時間テレビを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時間見ると寝つきが変わる？あなたの夢に残る映像の正体【ショート】</t>
    </r>
  </si>
  <si>
    <r>
      <rPr>
        <sz val="10"/>
        <rFont val="Arial"/>
        <family val="0"/>
        <charset val="1"/>
      </rPr>
      <t xml:space="preserve">ASUS</t>
    </r>
    <r>
      <rPr>
        <sz val="10"/>
        <rFont val="Noto Sans CJK SC"/>
        <family val="2"/>
      </rPr>
      <t xml:space="preserve">の年収が本当は気になる ゲーミング売上が約</t>
    </r>
    <r>
      <rPr>
        <sz val="10"/>
        <rFont val="Arial"/>
        <family val="0"/>
        <charset val="1"/>
      </rPr>
      <t xml:space="preserve">4,800</t>
    </r>
    <r>
      <rPr>
        <sz val="10"/>
        <rFont val="Noto Sans CJK SC"/>
        <family val="2"/>
      </rPr>
      <t xml:space="preserve">億円【ショート】</t>
    </r>
  </si>
  <si>
    <r>
      <rPr>
        <sz val="10"/>
        <rFont val="Noto Sans CJK SC"/>
        <family val="2"/>
      </rPr>
      <t xml:space="preserve">飲み会で絶対見られたくない通知あげてけ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</si>
  <si>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Noto Sans CJK SC"/>
        <family val="2"/>
      </rPr>
      <t xml:space="preserve">ワイ、</t>
    </r>
    <r>
      <rPr>
        <sz val="10"/>
        <rFont val="Arial"/>
        <family val="0"/>
        <charset val="1"/>
      </rPr>
      <t xml:space="preserve">AI</t>
    </r>
    <r>
      <rPr>
        <sz val="10"/>
        <rFont val="Noto Sans CJK SC"/>
        <family val="2"/>
      </rPr>
      <t xml:space="preserve">に変な質問する係やけど質問ある？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</si>
  <si>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t xml:space="preserve">2026-09-08</t>
  </si>
  <si>
    <r>
      <rPr>
        <sz val="10"/>
        <rFont val="Arial"/>
        <family val="0"/>
        <charset val="1"/>
      </rPr>
      <t xml:space="preserve">Apple</t>
    </r>
    <r>
      <rPr>
        <sz val="10"/>
        <rFont val="Noto Sans CJK SC"/>
        <family val="2"/>
      </rPr>
      <t xml:space="preserve">新製品予想、また本命を外して財布が逝く民ｗ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</si>
  <si>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ユニクロ店長、売上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億円を任される仕事の実態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</si>
  <si>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日間でずつ消えたエージェント名簿異常事件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</si>
  <si>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アンノーン</t>
    </r>
    <r>
      <rPr>
        <sz val="10"/>
        <rFont val="Arial"/>
        <family val="0"/>
        <charset val="1"/>
      </rPr>
      <t xml:space="preserve">28</t>
    </r>
    <r>
      <rPr>
        <sz val="10"/>
        <rFont val="Noto Sans CJK SC"/>
        <family val="2"/>
      </rPr>
      <t xml:space="preserve">種類コンプしても完成にならない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</si>
  <si>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覚の元ネタが怖すぎる…心を先回りする山の怪物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</si>
  <si>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の最後の一行だけが隔離対象になった理由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</si>
  <si>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NTT</t>
    </r>
    <r>
      <rPr>
        <sz val="10"/>
        <rFont val="Noto Sans CJK SC"/>
        <family val="2"/>
      </rPr>
      <t xml:space="preserve">データの年収</t>
    </r>
    <r>
      <rPr>
        <sz val="10"/>
        <rFont val="Arial"/>
        <family val="0"/>
        <charset val="1"/>
      </rPr>
      <t xml:space="preserve">905</t>
    </r>
    <r>
      <rPr>
        <sz val="10"/>
        <rFont val="Noto Sans CJK SC"/>
        <family val="2"/>
      </rPr>
      <t xml:space="preserve">万円、実は在宅勤務の裏側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</si>
  <si>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ドラパルト、子どもを音速超えで撃ち出すってマジ</t>
    </r>
    <r>
      <rPr>
        <sz val="10"/>
        <rFont val="Arial"/>
        <family val="0"/>
        <charset val="1"/>
      </rPr>
      <t xml:space="preserve">!?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</si>
  <si>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疲れた日の甘い物がすぐ消えるのはなぜ？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</si>
  <si>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SCP-3288 </t>
    </r>
    <r>
      <rPr>
        <sz val="10"/>
        <rFont val="Noto Sans CJK SC"/>
        <family val="2"/>
      </rPr>
      <t xml:space="preserve">大雨の真相 あなたの部屋も沈む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</si>
  <si>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耳を塞ぐと聞こえる</t>
    </r>
    <r>
      <rPr>
        <sz val="10"/>
        <rFont val="Arial"/>
        <family val="0"/>
        <charset val="1"/>
      </rPr>
      <t xml:space="preserve">20Hz</t>
    </r>
    <r>
      <rPr>
        <sz val="10"/>
        <rFont val="Noto Sans CJK SC"/>
        <family val="2"/>
      </rPr>
      <t xml:space="preserve">の正体？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</si>
  <si>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ワイの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で彼女が凍った本当の理由</t>
    </r>
    <r>
      <rPr>
        <sz val="10"/>
        <rFont val="Arial"/>
        <family val="0"/>
        <charset val="1"/>
      </rPr>
      <t xml:space="preserve">w💦 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</si>
  <si>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ろくろ首の正体は飛頭蛮？首が飛ぶ怪異の出どころ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</si>
  <si>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鬼の角が「目印」になった千年前の変化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</si>
  <si>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t xml:space="preserve">2026-09-07</t>
  </si>
  <si>
    <r>
      <rPr>
        <sz val="10"/>
        <rFont val="Noto Sans CJK SC"/>
        <family val="2"/>
      </rPr>
      <t xml:space="preserve">ソーナンスが反撃しかできない設計の狙いが深すぎる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</si>
  <si>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大和ハウス工業の年収</t>
    </r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万円超、残業の実態がヤバい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</si>
  <si>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走った後の鉄味、あなたの肺で何が？</t>
    </r>
    <r>
      <rPr>
        <sz val="10"/>
        <rFont val="Arial"/>
        <family val="0"/>
        <charset val="1"/>
      </rPr>
      <t xml:space="preserve">0.1%</t>
    </r>
    <r>
      <rPr>
        <sz val="10"/>
        <rFont val="Noto Sans CJK SC"/>
        <family val="2"/>
      </rPr>
      <t xml:space="preserve">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</si>
  <si>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なぜファミマで謎の商品を買ってしまうのか？草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</si>
  <si>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ワイ、毎月大金をムダにしてるけど質問ある？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</si>
  <si>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ロケット団の幹部だけ口調が別キャラ級？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作品で徹底比較の本当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</si>
  <si>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SCP-7241 </t>
    </r>
    <r>
      <rPr>
        <sz val="10"/>
        <rFont val="Noto Sans CJK SC"/>
        <family val="2"/>
      </rPr>
      <t xml:space="preserve">収容違反記録から毎回消える頁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</si>
  <si>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なぜ狐は人を化かす妖怪にされたのか？江戸の記録に残る事情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</si>
  <si>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イーブイの昼夜進化、エーフィとブラッキーに分かれた理由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</si>
  <si>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なぜこの火山は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時間沈黙し職員が消えるのか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</si>
  <si>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なぜ冷たい水だけ歯にしみる？歯の中で起きる変化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</si>
  <si>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日本郵政の年収、職種で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倍差がつく理由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</si>
  <si>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四天王の呼び名が定着した</t>
    </r>
    <r>
      <rPr>
        <sz val="10"/>
        <rFont val="Arial"/>
        <family val="0"/>
        <charset val="1"/>
      </rPr>
      <t xml:space="preserve">25</t>
    </r>
    <r>
      <rPr>
        <sz val="10"/>
        <rFont val="Noto Sans CJK SC"/>
        <family val="2"/>
      </rPr>
      <t xml:space="preserve">年の謎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</si>
  <si>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サイゼリヤの原価率が社員年収に与える意外な影響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</si>
  <si>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Arial"/>
        <family val="0"/>
        <charset val="1"/>
      </rPr>
      <t xml:space="preserve">RTX5090</t>
    </r>
    <r>
      <rPr>
        <sz val="10"/>
        <rFont val="Noto Sans CJK SC"/>
        <family val="2"/>
      </rPr>
      <t xml:space="preserve">はで部屋の外から名前を呼ぶのか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</si>
  <si>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なぜ他人のあくびは約</t>
    </r>
    <r>
      <rPr>
        <sz val="10"/>
        <rFont val="Arial"/>
        <family val="0"/>
        <charset val="1"/>
      </rPr>
      <t xml:space="preserve">45</t>
    </r>
    <r>
      <rPr>
        <sz val="10"/>
        <rFont val="Noto Sans CJK SC"/>
        <family val="2"/>
      </rPr>
      <t xml:space="preserve">％もつられる？脳の反応を解説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</si>
  <si>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大学サークルで語り継がれる伝説、尾ひれがヤバすぎる</t>
    </r>
    <r>
      <rPr>
        <sz val="10"/>
        <rFont val="Arial"/>
        <family val="0"/>
        <charset val="1"/>
      </rPr>
      <t xml:space="preserve">w 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</si>
  <si>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人面犬の噂が昭和の学校で生まれた土壌とは…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</si>
  <si>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ジムリーダーのタイプ縛り、実は町の役目だった！？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</si>
  <si>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Apple Japan</t>
    </r>
    <r>
      <rPr>
        <sz val="10"/>
        <rFont val="Noto Sans CJK SC"/>
        <family val="2"/>
      </rPr>
      <t xml:space="preserve">の年収、実は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万円超の実態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</si>
  <si>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あなたが大雨で不安になる</t>
    </r>
    <r>
      <rPr>
        <sz val="10"/>
        <rFont val="Arial"/>
        <family val="0"/>
        <charset val="1"/>
      </rPr>
      <t xml:space="preserve">3hPa</t>
    </r>
    <r>
      <rPr>
        <sz val="10"/>
        <rFont val="Noto Sans CJK SC"/>
        <family val="2"/>
      </rPr>
      <t xml:space="preserve">の正体？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</si>
  <si>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湯けむりの奥全員停止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</si>
  <si>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ワイ、保健体育歴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年やけど質問ある？</t>
    </r>
    <r>
      <rPr>
        <sz val="10"/>
        <rFont val="Arial"/>
        <family val="0"/>
        <charset val="1"/>
      </rPr>
      <t xml:space="preserve">w💦 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</si>
  <si>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未来の時刻誰が映る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</si>
  <si>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百目なのに一つ目？江戸の絵に隠された不気味な変化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</si>
  <si>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ドードリオの首が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つに増えた理由、種族値に出てた説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</si>
  <si>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SCP-5800 </t>
    </r>
    <r>
      <rPr>
        <sz val="10"/>
        <rFont val="Noto Sans CJK SC"/>
        <family val="2"/>
      </rPr>
      <t xml:space="preserve">職員証だけが戻った未解決ファイル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</si>
  <si>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実は暗い部屋で音に敏感になるのは、耳が目の代わりをするから？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</si>
  <si>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伊藤忠商事の平均</t>
    </r>
    <r>
      <rPr>
        <sz val="10"/>
        <rFont val="Arial"/>
        <family val="0"/>
        <charset val="1"/>
      </rPr>
      <t xml:space="preserve">1753</t>
    </r>
    <r>
      <rPr>
        <sz val="10"/>
        <rFont val="Noto Sans CJK SC"/>
        <family val="2"/>
      </rPr>
      <t xml:space="preserve">万円、朝型勤務の実態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</si>
  <si>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なぜ妖怪は山を下り里に現れるようになったのか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</si>
  <si>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b val="true"/>
        <sz val="14"/>
        <color rgb="FF1F3864"/>
        <rFont val="Noto Sans CJK SC"/>
        <family val="2"/>
      </rPr>
      <t xml:space="preserve">本日（</t>
    </r>
    <r>
      <rPr>
        <b val="true"/>
        <sz val="14"/>
        <color rgb="FF1F3864"/>
        <rFont val="Arial"/>
        <family val="0"/>
        <charset val="1"/>
      </rPr>
      <t xml:space="preserve">2026-09-13</t>
    </r>
    <r>
      <rPr>
        <b val="true"/>
        <sz val="14"/>
        <color rgb="FF1F3864"/>
        <rFont val="Noto Sans CJK SC"/>
        <family val="2"/>
      </rPr>
      <t xml:space="preserve">）実施した変更と根拠</t>
    </r>
  </si>
  <si>
    <r>
      <rPr>
        <sz val="10"/>
        <rFont val="Noto Sans CJK SC"/>
        <family val="2"/>
      </rPr>
      <t xml:space="preserve">方針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コホートが </t>
    </r>
    <r>
      <rPr>
        <sz val="10"/>
        <rFont val="Arial"/>
        <family val="0"/>
        <charset val="1"/>
      </rPr>
      <t xml:space="preserve">2026-09-08 </t>
    </r>
    <r>
      <rPr>
        <sz val="10"/>
        <rFont val="Noto Sans CJK SC"/>
        <family val="2"/>
      </rPr>
      <t xml:space="preserve">で凍結しているため、投稿枠・</t>
    </r>
    <r>
      <rPr>
        <sz val="10"/>
        <rFont val="Arial"/>
        <family val="0"/>
        <charset val="1"/>
      </rPr>
      <t xml:space="preserve">voice_style</t>
    </r>
    <r>
      <rPr>
        <sz val="10"/>
        <rFont val="Noto Sans CJK SC"/>
        <family val="2"/>
      </rPr>
      <t xml:space="preserve">・スタイルルールは一切変更しない（同一データでの二重意思決定を避ける）。実施したのは在庫補充と、新規に実測で裏付けが取れたキュー構成の是正のみ。</t>
    </r>
  </si>
  <si>
    <t xml:space="preserve">ID</t>
  </si>
  <si>
    <t xml:space="preserve">対象</t>
  </si>
  <si>
    <t xml:space="preserve">変更内容</t>
  </si>
  <si>
    <t xml:space="preserve">根拠（実データ）</t>
  </si>
  <si>
    <t xml:space="preserve">検証方法</t>
  </si>
  <si>
    <t xml:space="preserve">状態</t>
  </si>
  <si>
    <t xml:space="preserve">A1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</si>
  <si>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ch</t>
    </r>
  </si>
  <si>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復旧手順スクリプトを作成 </t>
    </r>
    <r>
      <rPr>
        <sz val="10"/>
        <rFont val="Arial"/>
        <family val="0"/>
        <charset val="1"/>
      </rPr>
      <t xml:space="preserve">(scripts/orch_recover_20260913.command)</t>
    </r>
  </si>
  <si>
    <r>
      <rPr>
        <sz val="10"/>
        <rFont val="Arial"/>
        <family val="0"/>
        <charset val="1"/>
      </rPr>
      <t xml:space="preserve">backend.log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invalid_grant 1005 </t>
    </r>
    <r>
      <rPr>
        <sz val="10"/>
        <rFont val="Noto Sans CJK SC"/>
        <family val="2"/>
      </rPr>
      <t xml:space="preserve">件 </t>
    </r>
    <r>
      <rPr>
        <sz val="10"/>
        <rFont val="Arial"/>
        <family val="0"/>
        <charset val="1"/>
      </rPr>
      <t xml:space="preserve">/ RefreshError 498 </t>
    </r>
    <r>
      <rPr>
        <sz val="10"/>
        <rFont val="Noto Sans CJK SC"/>
        <family val="2"/>
      </rPr>
      <t xml:space="preserve">件。</t>
    </r>
    <r>
      <rPr>
        <sz val="10"/>
        <rFont val="Arial"/>
        <family val="0"/>
        <charset val="1"/>
      </rPr>
      <t xml:space="preserve">09-09 </t>
    </r>
    <r>
      <rPr>
        <sz val="10"/>
        <rFont val="Noto Sans CJK SC"/>
        <family val="2"/>
      </rPr>
      <t xml:space="preserve">以降の公開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本、生成済み未公開 </t>
    </r>
    <r>
      <rPr>
        <sz val="10"/>
        <rFont val="Arial"/>
        <family val="0"/>
        <charset val="1"/>
      </rPr>
      <t xml:space="preserve">95 </t>
    </r>
    <r>
      <rPr>
        <sz val="10"/>
        <rFont val="Noto Sans CJK SC"/>
        <family val="2"/>
      </rPr>
      <t xml:space="preserve">本。トークン最終更新は全</t>
    </r>
    <r>
      <rPr>
        <sz val="10"/>
        <rFont val="Arial"/>
        <family val="0"/>
        <charset val="1"/>
      </rPr>
      <t xml:space="preserve">ch 09-08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09-09 </t>
    </r>
    <r>
      <rPr>
        <sz val="10"/>
        <rFont val="Noto Sans CJK SC"/>
        <family val="2"/>
      </rPr>
      <t xml:space="preserve">に集中。</t>
    </r>
  </si>
  <si>
    <r>
      <rPr>
        <sz val="10"/>
        <rFont val="Noto Sans CJK SC"/>
        <family val="2"/>
      </rPr>
      <t xml:space="preserve">再認可後に </t>
    </r>
    <r>
      <rPr>
        <sz val="10"/>
        <rFont val="Arial"/>
        <family val="0"/>
        <charset val="1"/>
      </rPr>
      <t xml:space="preserve">oauth_tokens.updated_at </t>
    </r>
    <r>
      <rPr>
        <sz val="10"/>
        <rFont val="Noto Sans CJK SC"/>
        <family val="2"/>
      </rPr>
      <t xml:space="preserve">が更新され、公開が通ること</t>
    </r>
  </si>
  <si>
    <t xml:space="preserve">要人手</t>
  </si>
  <si>
    <t xml:space="preserve">A2</t>
  </si>
  <si>
    <t xml:space="preserve">テーマキューの構成を是正。数値提示型を先頭へ、対決（どっちが）型を末尾へ</t>
  </si>
  <si>
    <r>
      <rPr>
        <sz val="10"/>
        <rFont val="Noto Sans CJK SC"/>
        <family val="2"/>
      </rPr>
      <t xml:space="preserve">公開 </t>
    </r>
    <r>
      <rPr>
        <sz val="10"/>
        <rFont val="Arial"/>
        <family val="0"/>
        <charset val="1"/>
      </rPr>
      <t xml:space="preserve">07-20 </t>
    </r>
    <r>
      <rPr>
        <sz val="10"/>
        <rFont val="Noto Sans CJK SC"/>
        <family val="2"/>
      </rPr>
      <t xml:space="preserve">以降 </t>
    </r>
    <r>
      <rPr>
        <sz val="10"/>
        <rFont val="Arial"/>
        <family val="0"/>
        <charset val="1"/>
      </rPr>
      <t xml:space="preserve">n=33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views&gt;=150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数値提示型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0.429(n=16) &gt; </t>
    </r>
    <r>
      <rPr>
        <sz val="10"/>
        <rFont val="Noto Sans CJK SC"/>
        <family val="2"/>
      </rPr>
      <t xml:space="preserve">その他 </t>
    </r>
    <r>
      <rPr>
        <sz val="10"/>
        <rFont val="Arial"/>
        <family val="0"/>
        <charset val="1"/>
      </rPr>
      <t xml:space="preserve">0.212(n=10) &gt; </t>
    </r>
    <r>
      <rPr>
        <sz val="10"/>
        <rFont val="Noto Sans CJK SC"/>
        <family val="2"/>
      </rPr>
      <t xml:space="preserve">対決型 </t>
    </r>
    <r>
      <rPr>
        <sz val="10"/>
        <rFont val="Arial"/>
        <family val="0"/>
        <charset val="1"/>
      </rPr>
      <t xml:space="preserve">0.191(n=7)</t>
    </r>
    <r>
      <rPr>
        <sz val="10"/>
        <rFont val="Noto Sans CJK SC"/>
        <family val="2"/>
      </rPr>
      <t xml:space="preserve">。対決型は平均</t>
    </r>
    <r>
      <rPr>
        <sz val="10"/>
        <rFont val="Arial"/>
        <family val="0"/>
        <charset val="1"/>
      </rPr>
      <t xml:space="preserve">1493</t>
    </r>
    <r>
      <rPr>
        <sz val="10"/>
        <rFont val="Noto Sans CJK SC"/>
        <family val="2"/>
      </rPr>
      <t xml:space="preserve">再生と再生では</t>
    </r>
    <r>
      <rPr>
        <sz val="10"/>
        <rFont val="Arial"/>
        <family val="0"/>
        <charset val="1"/>
      </rPr>
      <t xml:space="preserve">1.7</t>
    </r>
    <r>
      <rPr>
        <sz val="10"/>
        <rFont val="Noto Sans CJK SC"/>
        <family val="2"/>
      </rPr>
      <t xml:space="preserve">倍だが登録変換は</t>
    </r>
    <r>
      <rPr>
        <sz val="10"/>
        <rFont val="Arial"/>
        <family val="0"/>
        <charset val="1"/>
      </rPr>
      <t xml:space="preserve">1/2.2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pokemon-lab </t>
    </r>
    <r>
      <rPr>
        <sz val="10"/>
        <rFont val="Noto Sans CJK SC"/>
        <family val="2"/>
      </rPr>
      <t xml:space="preserve">は登録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0.277 </t>
    </r>
    <r>
      <rPr>
        <sz val="10"/>
        <rFont val="Noto Sans CJK SC"/>
        <family val="2"/>
      </rPr>
      <t xml:space="preserve">で </t>
    </r>
    <r>
      <rPr>
        <sz val="10"/>
        <rFont val="Arial"/>
        <family val="0"/>
        <charset val="1"/>
      </rPr>
      <t xml:space="preserve">6ch </t>
    </r>
    <r>
      <rPr>
        <sz val="10"/>
        <rFont val="Noto Sans CJK SC"/>
        <family val="2"/>
      </rPr>
      <t xml:space="preserve">ワースト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なのにキュー先頭が対決型だった。</t>
    </r>
  </si>
  <si>
    <r>
      <rPr>
        <sz val="10"/>
        <rFont val="Noto Sans CJK SC"/>
        <family val="2"/>
      </rPr>
      <t xml:space="preserve">復旧後コホート </t>
    </r>
    <r>
      <rPr>
        <sz val="10"/>
        <rFont val="Arial"/>
        <family val="0"/>
        <charset val="1"/>
      </rPr>
      <t xml:space="preserve">n&gt;=20 </t>
    </r>
    <r>
      <rPr>
        <sz val="10"/>
        <rFont val="Noto Sans CJK SC"/>
        <family val="2"/>
      </rPr>
      <t xml:space="preserve">で数値提示型の登録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千が対決型を上回るか</t>
    </r>
  </si>
  <si>
    <t xml:space="preserve">適用済</t>
  </si>
  <si>
    <t xml:space="preserve">A3</t>
  </si>
  <si>
    <r>
      <rPr>
        <sz val="10"/>
        <rFont val="Noto Sans CJK SC"/>
        <family val="2"/>
      </rPr>
      <t xml:space="preserve">テーマキュー </t>
    </r>
    <r>
      <rPr>
        <sz val="10"/>
        <rFont val="Arial"/>
        <family val="0"/>
        <charset val="1"/>
      </rPr>
      <t xml:space="preserve">10 → 21 </t>
    </r>
    <r>
      <rPr>
        <sz val="10"/>
        <rFont val="Noto Sans CJK SC"/>
        <family val="2"/>
      </rPr>
      <t xml:space="preserve">本へ補充（実測トップの「番号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具体数字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消失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途絶」型）</t>
    </r>
  </si>
  <si>
    <r>
      <rPr>
        <sz val="10"/>
        <rFont val="Noto Sans CJK SC"/>
        <family val="2"/>
      </rPr>
      <t xml:space="preserve">残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本 </t>
    </r>
    <r>
      <rPr>
        <sz val="10"/>
        <rFont val="Arial"/>
        <family val="0"/>
        <charset val="1"/>
      </rPr>
      <t xml:space="preserve">/ 3</t>
    </r>
    <r>
      <rPr>
        <sz val="10"/>
        <rFont val="Noto Sans CJK SC"/>
        <family val="2"/>
      </rPr>
      <t xml:space="preserve">枠日 </t>
    </r>
    <r>
      <rPr>
        <sz val="10"/>
        <rFont val="Arial"/>
        <family val="0"/>
        <charset val="1"/>
      </rPr>
      <t xml:space="preserve">= 3.3 </t>
    </r>
    <r>
      <rPr>
        <sz val="10"/>
        <rFont val="Noto Sans CJK SC"/>
        <family val="2"/>
      </rPr>
      <t xml:space="preserve">日で枯渇見込み。実測トップ</t>
    </r>
    <r>
      <rPr>
        <sz val="10"/>
        <rFont val="Arial"/>
        <family val="0"/>
        <charset val="1"/>
      </rPr>
      <t xml:space="preserve">: SCP-1283-JP </t>
    </r>
    <r>
      <rPr>
        <sz val="10"/>
        <rFont val="Noto Sans CJK SC"/>
        <family val="2"/>
      </rPr>
      <t xml:space="preserve">踏切 </t>
    </r>
    <r>
      <rPr>
        <sz val="10"/>
        <rFont val="Arial"/>
        <family val="0"/>
        <charset val="1"/>
      </rPr>
      <t xml:space="preserve">3.03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SCP-096 </t>
    </r>
    <r>
      <rPr>
        <sz val="10"/>
        <rFont val="Noto Sans CJK SC"/>
        <family val="2"/>
      </rPr>
      <t xml:space="preserve">記録消失 </t>
    </r>
    <r>
      <rPr>
        <sz val="10"/>
        <rFont val="Arial"/>
        <family val="0"/>
        <charset val="1"/>
      </rPr>
      <t xml:space="preserve">2.20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SCP-1987 24</t>
    </r>
    <r>
      <rPr>
        <sz val="10"/>
        <rFont val="Noto Sans CJK SC"/>
        <family val="2"/>
      </rPr>
      <t xml:space="preserve">時間ごと </t>
    </r>
    <r>
      <rPr>
        <sz val="10"/>
        <rFont val="Arial"/>
        <family val="0"/>
        <charset val="1"/>
      </rPr>
      <t xml:space="preserve">2.10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SCP-4335 </t>
    </r>
    <r>
      <rPr>
        <sz val="10"/>
        <rFont val="Noto Sans CJK SC"/>
        <family val="2"/>
      </rPr>
      <t xml:space="preserve">観測途絶 </t>
    </r>
    <r>
      <rPr>
        <sz val="10"/>
        <rFont val="Arial"/>
        <family val="0"/>
        <charset val="1"/>
      </rPr>
      <t xml:space="preserve">2.08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</si>
  <si>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枯渇せず稼働継続すること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新規テーマの登録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</t>
    </r>
  </si>
  <si>
    <t xml:space="preserve">A4</t>
  </si>
  <si>
    <r>
      <rPr>
        <sz val="10"/>
        <rFont val="Noto Sans CJK SC"/>
        <family val="2"/>
      </rPr>
      <t xml:space="preserve">テーマキュー </t>
    </r>
    <r>
      <rPr>
        <sz val="10"/>
        <rFont val="Arial"/>
        <family val="0"/>
        <charset val="1"/>
      </rPr>
      <t xml:space="preserve">13 → 21 </t>
    </r>
    <r>
      <rPr>
        <sz val="10"/>
        <rFont val="Noto Sans CJK SC"/>
        <family val="2"/>
      </rPr>
      <t xml:space="preserve">本へ補充（「身体感覚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具体的な倍率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秒数」型）</t>
    </r>
  </si>
  <si>
    <r>
      <rPr>
        <sz val="10"/>
        <rFont val="Noto Sans CJK SC"/>
        <family val="2"/>
      </rPr>
      <t xml:space="preserve">残 </t>
    </r>
    <r>
      <rPr>
        <sz val="10"/>
        <rFont val="Arial"/>
        <family val="0"/>
        <charset val="1"/>
      </rPr>
      <t xml:space="preserve">13 </t>
    </r>
    <r>
      <rPr>
        <sz val="10"/>
        <rFont val="Noto Sans CJK SC"/>
        <family val="2"/>
      </rPr>
      <t xml:space="preserve">本 </t>
    </r>
    <r>
      <rPr>
        <sz val="10"/>
        <rFont val="Arial"/>
        <family val="0"/>
        <charset val="1"/>
      </rPr>
      <t xml:space="preserve">/ 3</t>
    </r>
    <r>
      <rPr>
        <sz val="10"/>
        <rFont val="Noto Sans CJK SC"/>
        <family val="2"/>
      </rPr>
      <t xml:space="preserve">枠日 </t>
    </r>
    <r>
      <rPr>
        <sz val="10"/>
        <rFont val="Arial"/>
        <family val="0"/>
        <charset val="1"/>
      </rPr>
      <t xml:space="preserve">= 4.3 </t>
    </r>
    <r>
      <rPr>
        <sz val="10"/>
        <rFont val="Noto Sans CJK SC"/>
        <family val="2"/>
      </rPr>
      <t xml:space="preserve">日。実測トップ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座ると腰 圧力</t>
    </r>
    <r>
      <rPr>
        <sz val="10"/>
        <rFont val="Arial"/>
        <family val="0"/>
        <charset val="1"/>
      </rPr>
      <t xml:space="preserve">1.4</t>
    </r>
    <r>
      <rPr>
        <sz val="10"/>
        <rFont val="Noto Sans CJK SC"/>
        <family val="2"/>
      </rPr>
      <t xml:space="preserve">倍 </t>
    </r>
    <r>
      <rPr>
        <sz val="10"/>
        <rFont val="Arial"/>
        <family val="0"/>
        <charset val="1"/>
      </rPr>
      <t xml:space="preserve">3.47</t>
    </r>
    <r>
      <rPr>
        <sz val="10"/>
        <rFont val="Noto Sans CJK SC"/>
        <family val="2"/>
      </rPr>
      <t xml:space="preserve">、濡れた紙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倍 </t>
    </r>
    <r>
      <rPr>
        <sz val="10"/>
        <rFont val="Arial"/>
        <family val="0"/>
        <charset val="1"/>
      </rPr>
      <t xml:space="preserve">2.42</t>
    </r>
    <r>
      <rPr>
        <sz val="10"/>
        <rFont val="Noto Sans CJK SC"/>
        <family val="2"/>
      </rPr>
      <t xml:space="preserve">。当</t>
    </r>
    <r>
      <rPr>
        <sz val="10"/>
        <rFont val="Arial"/>
        <family val="0"/>
        <charset val="1"/>
      </rPr>
      <t xml:space="preserve">ch </t>
    </r>
    <r>
      <rPr>
        <sz val="10"/>
        <rFont val="Noto Sans CJK SC"/>
        <family val="2"/>
      </rPr>
      <t xml:space="preserve">は高評価率 </t>
    </r>
    <r>
      <rPr>
        <sz val="10"/>
        <rFont val="Arial"/>
        <family val="0"/>
        <charset val="1"/>
      </rPr>
      <t xml:space="preserve">0.580% </t>
    </r>
    <r>
      <rPr>
        <sz val="10"/>
        <rFont val="Noto Sans CJK SC"/>
        <family val="2"/>
      </rPr>
      <t xml:space="preserve">で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位だが有効</t>
    </r>
    <r>
      <rPr>
        <sz val="10"/>
        <rFont val="Arial"/>
        <family val="0"/>
        <charset val="1"/>
      </rPr>
      <t xml:space="preserve">CTR 1.97% </t>
    </r>
    <r>
      <rPr>
        <sz val="10"/>
        <rFont val="Noto Sans CJK SC"/>
        <family val="2"/>
      </rPr>
      <t xml:space="preserve">は中位でサムネに伸びしろ。</t>
    </r>
  </si>
  <si>
    <r>
      <rPr>
        <sz val="10"/>
        <rFont val="Noto Sans CJK SC"/>
        <family val="2"/>
      </rPr>
      <t xml:space="preserve">枯渇せず稼働継続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サムネ改善は復旧後データで別途</t>
    </r>
  </si>
  <si>
    <t xml:space="preserve">A5</t>
  </si>
  <si>
    <r>
      <rPr>
        <sz val="10"/>
        <rFont val="Noto Sans CJK SC"/>
        <family val="2"/>
      </rPr>
      <t xml:space="preserve">テーマキュー </t>
    </r>
    <r>
      <rPr>
        <sz val="10"/>
        <rFont val="Arial"/>
        <family val="0"/>
        <charset val="1"/>
      </rPr>
      <t xml:space="preserve">18 → 28 </t>
    </r>
    <r>
      <rPr>
        <sz val="10"/>
        <rFont val="Noto Sans CJK SC"/>
        <family val="2"/>
      </rPr>
      <t xml:space="preserve">本へ補充（「企業名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具体年収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実は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本当はどこに」型）</t>
    </r>
  </si>
  <si>
    <r>
      <rPr>
        <sz val="10"/>
        <rFont val="Noto Sans CJK SC"/>
        <family val="2"/>
      </rPr>
      <t xml:space="preserve">残 </t>
    </r>
    <r>
      <rPr>
        <sz val="10"/>
        <rFont val="Arial"/>
        <family val="0"/>
        <charset val="1"/>
      </rPr>
      <t xml:space="preserve">18 </t>
    </r>
    <r>
      <rPr>
        <sz val="10"/>
        <rFont val="Noto Sans CJK SC"/>
        <family val="2"/>
      </rPr>
      <t xml:space="preserve">本 </t>
    </r>
    <r>
      <rPr>
        <sz val="10"/>
        <rFont val="Arial"/>
        <family val="0"/>
        <charset val="1"/>
      </rPr>
      <t xml:space="preserve">/ 4</t>
    </r>
    <r>
      <rPr>
        <sz val="10"/>
        <rFont val="Noto Sans CJK SC"/>
        <family val="2"/>
      </rPr>
      <t xml:space="preserve">枠日 </t>
    </r>
    <r>
      <rPr>
        <sz val="10"/>
        <rFont val="Arial"/>
        <family val="0"/>
        <charset val="1"/>
      </rPr>
      <t xml:space="preserve">= 4.5 </t>
    </r>
    <r>
      <rPr>
        <sz val="10"/>
        <rFont val="Noto Sans CJK SC"/>
        <family val="2"/>
      </rPr>
      <t xml:space="preserve">日。維持率 </t>
    </r>
    <r>
      <rPr>
        <sz val="10"/>
        <rFont val="Arial"/>
        <family val="0"/>
        <charset val="1"/>
      </rPr>
      <t xml:space="preserve">56.1%</t>
    </r>
    <r>
      <rPr>
        <sz val="10"/>
        <rFont val="Noto Sans CJK SC"/>
        <family val="2"/>
      </rPr>
      <t xml:space="preserve">・有効</t>
    </r>
    <r>
      <rPr>
        <sz val="10"/>
        <rFont val="Arial"/>
        <family val="0"/>
        <charset val="1"/>
      </rPr>
      <t xml:space="preserve">CTR 2.87% </t>
    </r>
    <r>
      <rPr>
        <sz val="10"/>
        <rFont val="Noto Sans CJK SC"/>
        <family val="2"/>
      </rPr>
      <t xml:space="preserve">でともに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位、登録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 </t>
    </r>
    <r>
      <rPr>
        <sz val="10"/>
        <rFont val="Arial"/>
        <family val="0"/>
        <charset val="1"/>
      </rPr>
      <t xml:space="preserve">0.709 </t>
    </r>
    <r>
      <rPr>
        <sz val="10"/>
        <rFont val="Noto Sans CJK SC"/>
        <family val="2"/>
      </rPr>
      <t xml:space="preserve">で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位。勝ち型が明確なので同型で補充。</t>
    </r>
  </si>
  <si>
    <t xml:space="preserve">枯渇せず稼働継続すること</t>
  </si>
  <si>
    <t xml:space="preserve">A6</t>
  </si>
  <si>
    <r>
      <rPr>
        <sz val="10"/>
        <rFont val="Noto Sans CJK SC"/>
        <family val="2"/>
      </rPr>
      <t xml:space="preserve">投稿枠・</t>
    </r>
    <r>
      <rPr>
        <sz val="10"/>
        <rFont val="Arial"/>
        <family val="0"/>
        <charset val="1"/>
      </rPr>
      <t xml:space="preserve">voice_style</t>
    </r>
    <r>
      <rPr>
        <sz val="10"/>
        <rFont val="Noto Sans CJK SC"/>
        <family val="2"/>
      </rPr>
      <t xml:space="preserve">・スタイルルールは変更しない</t>
    </r>
  </si>
  <si>
    <r>
      <rPr>
        <sz val="10"/>
        <rFont val="Arial"/>
        <family val="0"/>
        <charset val="1"/>
      </rPr>
      <t xml:space="preserve">09-09 </t>
    </r>
    <r>
      <rPr>
        <sz val="10"/>
        <rFont val="Noto Sans CJK SC"/>
        <family val="2"/>
      </rPr>
      <t xml:space="preserve">以降の新規公開が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本でコホートが </t>
    </r>
    <r>
      <rPr>
        <sz val="10"/>
        <rFont val="Arial"/>
        <family val="0"/>
        <charset val="1"/>
      </rPr>
      <t xml:space="preserve">09-12 </t>
    </r>
    <r>
      <rPr>
        <sz val="10"/>
        <rFont val="Noto Sans CJK SC"/>
        <family val="2"/>
      </rPr>
      <t xml:space="preserve">分析時と完全に同一。同じデータで二度目の意思決定をすると、効果検証ができなくなる。</t>
    </r>
  </si>
  <si>
    <r>
      <rPr>
        <sz val="10"/>
        <rFont val="Noto Sans CJK SC"/>
        <family val="2"/>
      </rPr>
      <t xml:space="preserve">復旧後 </t>
    </r>
    <r>
      <rPr>
        <sz val="10"/>
        <rFont val="Arial"/>
        <family val="0"/>
        <charset val="1"/>
      </rPr>
      <t xml:space="preserve">n&gt;=20/ch </t>
    </r>
    <r>
      <rPr>
        <sz val="10"/>
        <rFont val="Noto Sans CJK SC"/>
        <family val="2"/>
      </rPr>
      <t xml:space="preserve">のコホートが揃った時点で再評価（目安 </t>
    </r>
    <r>
      <rPr>
        <sz val="10"/>
        <rFont val="Arial"/>
        <family val="0"/>
        <charset val="1"/>
      </rPr>
      <t xml:space="preserve">2026-09-20</t>
    </r>
    <r>
      <rPr>
        <sz val="10"/>
        <rFont val="Noto Sans CJK SC"/>
        <family val="2"/>
      </rPr>
      <t xml:space="preserve">）</t>
    </r>
  </si>
  <si>
    <t xml:space="preserve">意図的に見送り</t>
  </si>
  <si>
    <t xml:space="preserve">A7</t>
  </si>
  <si>
    <t xml:space="preserve">制作トリガ</t>
  </si>
  <si>
    <r>
      <rPr>
        <sz val="10"/>
        <rFont val="Arial"/>
        <family val="0"/>
        <charset val="1"/>
      </rPr>
      <t xml:space="preserve">moviepy 6ch </t>
    </r>
    <r>
      <rPr>
        <sz val="10"/>
        <rFont val="Noto Sans CJK SC"/>
        <family val="2"/>
      </rPr>
      <t xml:space="preserve">への手動トリガは実行しない</t>
    </r>
  </si>
  <si>
    <r>
      <rPr>
        <sz val="10"/>
        <rFont val="Arial"/>
        <family val="0"/>
        <charset val="1"/>
      </rPr>
      <t xml:space="preserve">APScheduler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09-13 </t>
    </r>
    <r>
      <rPr>
        <sz val="10"/>
        <rFont val="Noto Sans CJK SC"/>
        <family val="2"/>
      </rPr>
      <t xml:space="preserve">も </t>
    </r>
    <r>
      <rPr>
        <sz val="10"/>
        <rFont val="Arial"/>
        <family val="0"/>
        <charset val="1"/>
      </rPr>
      <t xml:space="preserve">daily-science / scp-lab / pokemon-lab / yokai-watch / company-facts / akashic </t>
    </r>
    <r>
      <rPr>
        <sz val="10"/>
        <rFont val="Noto Sans CJK SC"/>
        <family val="2"/>
      </rPr>
      <t xml:space="preserve">を自動発火済み。公開が通らない状態で追加生成しても未公開在庫 </t>
    </r>
    <r>
      <rPr>
        <sz val="10"/>
        <rFont val="Arial"/>
        <family val="0"/>
        <charset val="1"/>
      </rPr>
      <t xml:space="preserve">95 </t>
    </r>
    <r>
      <rPr>
        <sz val="10"/>
        <rFont val="Noto Sans CJK SC"/>
        <family val="2"/>
      </rPr>
      <t xml:space="preserve">本に積み増すだけ。</t>
    </r>
  </si>
  <si>
    <t xml:space="preserve">公開復旧後に在庫が捌けるか</t>
  </si>
  <si>
    <t xml:space="preserve">未対応・要人手（前日から継続）</t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</si>
  <si>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clip-animal: </t>
    </r>
    <r>
      <rPr>
        <sz val="10"/>
        <rFont val="Noto Sans CJK SC"/>
        <family val="2"/>
      </rPr>
      <t xml:space="preserve">許諾済み外部素材が </t>
    </r>
    <r>
      <rPr>
        <sz val="10"/>
        <rFont val="Arial"/>
        <family val="0"/>
        <charset val="1"/>
      </rPr>
      <t xml:space="preserve">max_duration_sec(3600s) </t>
    </r>
    <r>
      <rPr>
        <sz val="10"/>
        <rFont val="Noto Sans CJK SC"/>
        <family val="2"/>
      </rPr>
      <t xml:space="preserve">超で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本除外（最長 </t>
    </r>
    <r>
      <rPr>
        <sz val="10"/>
        <rFont val="Arial"/>
        <family val="0"/>
        <charset val="1"/>
      </rPr>
      <t xml:space="preserve">4328s</t>
    </r>
    <r>
      <rPr>
        <sz val="10"/>
        <rFont val="Noto Sans CJK SC"/>
        <family val="2"/>
      </rPr>
      <t xml:space="preserve">）。素材が枯渇。</t>
    </r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</si>
  <si>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clip-lab / clip-kaneko: ANTHROPIC_API_KEY / OPENAI_API_KEY </t>
    </r>
    <r>
      <rPr>
        <sz val="10"/>
        <rFont val="Noto Sans CJK SC"/>
        <family val="2"/>
      </rPr>
      <t xml:space="preserve">未設定で </t>
    </r>
    <r>
      <rPr>
        <sz val="10"/>
        <rFont val="Arial"/>
        <family val="0"/>
        <charset val="1"/>
      </rPr>
      <t xml:space="preserve">viral </t>
    </r>
    <r>
      <rPr>
        <sz val="10"/>
        <rFont val="Noto Sans CJK SC"/>
        <family val="2"/>
      </rPr>
      <t xml:space="preserve">エンジンが停止。「壊れた字幕で公開しない」ガードが正しく働いて中止している。</t>
    </r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</si>
  <si>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akashic-librarian: OAuth </t>
    </r>
    <r>
      <rPr>
        <sz val="10"/>
        <rFont val="Noto Sans CJK SC"/>
        <family val="2"/>
      </rPr>
      <t xml:space="preserve">未連携（生成は成功、公開のみスキップ）。今回の全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失効とは別件。</t>
    </r>
  </si>
  <si>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retention_curve </t>
    </r>
    <r>
      <rPr>
        <sz val="10"/>
        <rFont val="Noto Sans CJK SC"/>
        <family val="2"/>
      </rPr>
      <t xml:space="preserve">が主力 </t>
    </r>
    <r>
      <rPr>
        <sz val="10"/>
        <rFont val="Arial"/>
        <family val="0"/>
        <charset val="1"/>
      </rPr>
      <t xml:space="preserve">6ch </t>
    </r>
    <r>
      <rPr>
        <sz val="10"/>
        <rFont val="Noto Sans CJK SC"/>
        <family val="2"/>
      </rPr>
      <t xml:space="preserve">中 </t>
    </r>
    <r>
      <rPr>
        <sz val="10"/>
        <rFont val="Arial"/>
        <family val="0"/>
        <charset val="1"/>
      </rPr>
      <t xml:space="preserve">5ch </t>
    </r>
    <r>
      <rPr>
        <sz val="10"/>
        <rFont val="Noto Sans CJK SC"/>
        <family val="2"/>
      </rPr>
      <t xml:space="preserve">で未取得。離脱点分析が </t>
    </r>
    <r>
      <rPr>
        <sz val="10"/>
        <rFont val="Arial"/>
        <family val="0"/>
        <charset val="1"/>
      </rPr>
      <t xml:space="preserve">daily-science </t>
    </r>
    <r>
      <rPr>
        <sz val="10"/>
        <rFont val="Noto Sans CJK SC"/>
        <family val="2"/>
      </rPr>
      <t xml:space="preserve">でしかできない。</t>
    </r>
  </si>
  <si>
    <r>
      <rPr>
        <b val="true"/>
        <sz val="14"/>
        <color rgb="FF1F3864"/>
        <rFont val="Noto Sans CJK SC"/>
        <family val="2"/>
      </rPr>
      <t xml:space="preserve">日別推移（公開日ベース </t>
    </r>
    <r>
      <rPr>
        <b val="true"/>
        <sz val="14"/>
        <color rgb="FF1F3864"/>
        <rFont val="Arial"/>
        <family val="0"/>
        <charset val="1"/>
      </rPr>
      <t xml:space="preserve">/ 2026-08-25 </t>
    </r>
    <r>
      <rPr>
        <b val="true"/>
        <sz val="14"/>
        <color rgb="FF1F3864"/>
        <rFont val="Noto Sans CJK SC"/>
        <family val="2"/>
      </rPr>
      <t xml:space="preserve">以降）</t>
    </r>
  </si>
  <si>
    <t xml:space="preserve">公開本数</t>
  </si>
  <si>
    <t xml:space="preserve">再生合計</t>
  </si>
  <si>
    <t xml:space="preserve">登録合計</t>
  </si>
  <si>
    <r>
      <rPr>
        <b val="true"/>
        <sz val="10"/>
        <color rgb="FFFFFFFF"/>
        <rFont val="Noto Sans CJK SC"/>
        <family val="2"/>
      </rPr>
      <t xml:space="preserve">平均再生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本</t>
    </r>
  </si>
  <si>
    <t xml:space="preserve">2026-09-09</t>
  </si>
  <si>
    <r>
      <rPr>
        <b val="true"/>
        <sz val="10"/>
        <color rgb="FF9C0006"/>
        <rFont val="Arial"/>
        <family val="0"/>
        <charset val="1"/>
      </rPr>
      <t xml:space="preserve">← OAuth </t>
    </r>
    <r>
      <rPr>
        <b val="true"/>
        <sz val="10"/>
        <color rgb="FF9C0006"/>
        <rFont val="Noto Sans CJK SC"/>
        <family val="2"/>
      </rPr>
      <t xml:space="preserve">失効により公開停止</t>
    </r>
  </si>
  <si>
    <t xml:space="preserve">2026-09-10</t>
  </si>
  <si>
    <t xml:space="preserve">2026-09-11</t>
  </si>
  <si>
    <t xml:space="preserve">2026-09-12</t>
  </si>
  <si>
    <t xml:space="preserve">2026-09-13</t>
  </si>
  <si>
    <t xml:space="preserve">週次サマリー</t>
  </si>
  <si>
    <t xml:space="preserve">期間</t>
  </si>
  <si>
    <t xml:space="preserve">備考</t>
  </si>
  <si>
    <r>
      <rPr>
        <sz val="10"/>
        <rFont val="Arial"/>
        <family val="0"/>
        <charset val="1"/>
      </rPr>
      <t xml:space="preserve">2026-09-01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09-08</t>
    </r>
  </si>
  <si>
    <r>
      <rPr>
        <sz val="10"/>
        <rFont val="Noto Sans CJK SC"/>
        <family val="2"/>
      </rPr>
      <t xml:space="preserve">最終稼働週。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日あたり 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19 </t>
    </r>
    <r>
      <rPr>
        <sz val="10"/>
        <rFont val="Noto Sans CJK SC"/>
        <family val="2"/>
      </rPr>
      <t xml:space="preserve">本</t>
    </r>
  </si>
  <si>
    <r>
      <rPr>
        <sz val="10"/>
        <rFont val="Arial"/>
        <family val="0"/>
        <charset val="1"/>
      </rPr>
      <t xml:space="preserve">2026-09-09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09-13</t>
    </r>
  </si>
  <si>
    <r>
      <rPr>
        <b val="true"/>
        <sz val="10"/>
        <color rgb="FF9C0006"/>
        <rFont val="Arial"/>
        <family val="0"/>
        <charset val="1"/>
      </rPr>
      <t xml:space="preserve">OAuth </t>
    </r>
    <r>
      <rPr>
        <b val="true"/>
        <sz val="10"/>
        <color rgb="FF9C0006"/>
        <rFont val="Noto Sans CJK SC"/>
        <family val="2"/>
      </rPr>
      <t xml:space="preserve">失効により公開 </t>
    </r>
    <r>
      <rPr>
        <b val="true"/>
        <sz val="10"/>
        <color rgb="FF9C0006"/>
        <rFont val="Arial"/>
        <family val="0"/>
        <charset val="1"/>
      </rPr>
      <t xml:space="preserve">0 </t>
    </r>
    <r>
      <rPr>
        <b val="true"/>
        <sz val="10"/>
        <color rgb="FF9C0006"/>
        <rFont val="Noto Sans CJK SC"/>
        <family val="2"/>
      </rPr>
      <t xml:space="preserve">本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</si>
</sst>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#,##0.0"/>
    <numFmt numFmtId="167" formatCode="0.000"/>
    <numFmt numFmtId="168" formatCode="0.0%"/>
    <numFmt numFmtId="169" formatCode="0.000%"/>
    <numFmt numFmtId="170" formatCode="0.00%"/>
    <numFmt numFmtId="171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b val="true"/>
      <sz val="11"/>
      <color rgb="FF9C0006"/>
      <name val="Noto Sans CJK SC"/>
      <family val="2"/>
    </font>
    <font>
      <b val="true"/>
      <sz val="10"/>
      <color rgb="FF9C0006"/>
      <name val="Arial"/>
      <family val="0"/>
      <charset val="1"/>
    </font>
    <font>
      <b val="true"/>
      <sz val="10"/>
      <color rgb="FF9C0006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CCCCFF"/>
      </patternFill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0"/>
  </cols>
  <sheetData>
    <row r="1" customFormat="false" ht="21.6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8" customFormat="false" ht="15" hidden="false" customHeight="false" outlineLevel="0" collapsed="false">
      <c r="A8" s="4" t="s">
        <v>3</v>
      </c>
      <c r="B8" s="4"/>
      <c r="C8" s="4"/>
      <c r="D8" s="4"/>
      <c r="E8" s="4"/>
      <c r="F8" s="4"/>
      <c r="G8" s="4"/>
    </row>
    <row r="9" customFormat="false" ht="15" hidden="false" customHeight="false" outlineLevel="0" collapsed="false">
      <c r="A9" s="5" t="s">
        <v>4</v>
      </c>
      <c r="B9" s="5"/>
      <c r="C9" s="5"/>
      <c r="D9" s="5"/>
      <c r="E9" s="5"/>
      <c r="F9" s="5"/>
      <c r="G9" s="5"/>
    </row>
    <row r="11" customFormat="false" ht="15" hidden="false" customHeight="false" outlineLevel="0" collapsed="false">
      <c r="A11" s="6" t="s">
        <v>5</v>
      </c>
    </row>
    <row r="12" customFormat="false" ht="27.75" hidden="false" customHeight="true" outlineLevel="0" collapsed="false">
      <c r="A12" s="7" t="s">
        <v>6</v>
      </c>
      <c r="B12" s="7" t="s">
        <v>7</v>
      </c>
      <c r="C12" s="7" t="s">
        <v>8</v>
      </c>
    </row>
    <row r="13" customFormat="false" ht="58.2" hidden="false" customHeight="false" outlineLevel="0" collapsed="false">
      <c r="A13" s="8" t="s">
        <v>9</v>
      </c>
      <c r="B13" s="9" t="n">
        <v>5</v>
      </c>
      <c r="C13" s="10" t="s">
        <v>10</v>
      </c>
    </row>
    <row r="14" customFormat="false" ht="72.35" hidden="false" customHeight="false" outlineLevel="0" collapsed="false">
      <c r="A14" s="8" t="s">
        <v>11</v>
      </c>
      <c r="B14" s="11" t="n">
        <v>17.2</v>
      </c>
      <c r="C14" s="10" t="s">
        <v>12</v>
      </c>
    </row>
    <row r="15" customFormat="false" ht="72.35" hidden="false" customHeight="false" outlineLevel="0" collapsed="false">
      <c r="A15" s="8" t="s">
        <v>13</v>
      </c>
      <c r="B15" s="9" t="n">
        <v>95</v>
      </c>
      <c r="C15" s="10" t="s">
        <v>14</v>
      </c>
    </row>
    <row r="16" customFormat="false" ht="44" hidden="false" customHeight="false" outlineLevel="0" collapsed="false">
      <c r="A16" s="8" t="s">
        <v>15</v>
      </c>
      <c r="B16" s="9" t="n">
        <f aca="false">B15*チャンネル別詳細!$C$10</f>
        <v>76543.2699619772</v>
      </c>
      <c r="C16" s="12" t="s">
        <v>16</v>
      </c>
    </row>
    <row r="17" customFormat="false" ht="44" hidden="false" customHeight="false" outlineLevel="0" collapsed="false">
      <c r="A17" s="8" t="s">
        <v>17</v>
      </c>
      <c r="B17" s="11" t="n">
        <f aca="false">B16*チャンネル別詳細!$F$10/1000</f>
        <v>37.5665399239544</v>
      </c>
      <c r="C17" s="12" t="s">
        <v>18</v>
      </c>
    </row>
    <row r="19" customFormat="false" ht="17.15" hidden="false" customHeight="false" outlineLevel="0" collapsed="false">
      <c r="A19" s="6" t="s">
        <v>19</v>
      </c>
    </row>
    <row r="20" customFormat="false" ht="27.75" hidden="false" customHeight="true" outlineLevel="0" collapsed="false">
      <c r="A20" s="7" t="s">
        <v>20</v>
      </c>
      <c r="B20" s="7" t="s">
        <v>21</v>
      </c>
      <c r="C20" s="7" t="s">
        <v>22</v>
      </c>
      <c r="D20" s="7" t="s">
        <v>23</v>
      </c>
      <c r="E20" s="7" t="s">
        <v>24</v>
      </c>
      <c r="F20" s="7" t="s">
        <v>25</v>
      </c>
      <c r="G20" s="7" t="s">
        <v>26</v>
      </c>
    </row>
    <row r="21" customFormat="false" ht="15" hidden="false" customHeight="false" outlineLevel="0" collapsed="false">
      <c r="A21" s="10" t="s">
        <v>27</v>
      </c>
      <c r="B21" s="9" t="n">
        <v>43</v>
      </c>
      <c r="C21" s="9" t="n">
        <v>30842</v>
      </c>
      <c r="D21" s="9" t="n">
        <f aca="false">IFERROR(C21/B21,0)</f>
        <v>717.255813953488</v>
      </c>
      <c r="E21" s="9" t="n">
        <v>15</v>
      </c>
      <c r="F21" s="13" t="n">
        <f aca="false">IFERROR(E21/C21*1000,0)</f>
        <v>0.486349782763764</v>
      </c>
      <c r="G21" s="14" t="n">
        <v>0.482280555555555</v>
      </c>
    </row>
    <row r="22" customFormat="false" ht="15" hidden="false" customHeight="false" outlineLevel="0" collapsed="false">
      <c r="A22" s="10" t="s">
        <v>28</v>
      </c>
      <c r="B22" s="9" t="n">
        <v>52</v>
      </c>
      <c r="C22" s="9" t="n">
        <v>33721</v>
      </c>
      <c r="D22" s="9" t="n">
        <f aca="false">IFERROR(C22/B22,0)</f>
        <v>648.480769230769</v>
      </c>
      <c r="E22" s="9" t="n">
        <v>26</v>
      </c>
      <c r="F22" s="13" t="n">
        <f aca="false">IFERROR(E22/C22*1000,0)</f>
        <v>0.771032887518164</v>
      </c>
      <c r="G22" s="14" t="n">
        <v>0.385533333333333</v>
      </c>
    </row>
    <row r="23" customFormat="false" ht="15" hidden="false" customHeight="false" outlineLevel="0" collapsed="false">
      <c r="A23" s="10" t="s">
        <v>29</v>
      </c>
      <c r="B23" s="9" t="n">
        <v>49</v>
      </c>
      <c r="C23" s="9" t="n">
        <v>40283</v>
      </c>
      <c r="D23" s="9" t="n">
        <f aca="false">IFERROR(C23/B23,0)</f>
        <v>822.102040816327</v>
      </c>
      <c r="E23" s="9" t="n">
        <v>8</v>
      </c>
      <c r="F23" s="13" t="n">
        <f aca="false">IFERROR(E23/C23*1000,0)</f>
        <v>0.198594940793883</v>
      </c>
      <c r="G23" s="14" t="n">
        <v>0.488254761904762</v>
      </c>
    </row>
    <row r="24" customFormat="false" ht="15" hidden="false" customHeight="false" outlineLevel="0" collapsed="false">
      <c r="A24" s="10" t="s">
        <v>30</v>
      </c>
      <c r="B24" s="9" t="n">
        <v>40</v>
      </c>
      <c r="C24" s="9" t="n">
        <v>32440</v>
      </c>
      <c r="D24" s="9" t="n">
        <f aca="false">IFERROR(C24/B24,0)</f>
        <v>811</v>
      </c>
      <c r="E24" s="9" t="n">
        <v>9</v>
      </c>
      <c r="F24" s="13" t="n">
        <f aca="false">IFERROR(E24/C24*1000,0)</f>
        <v>0.277435265104809</v>
      </c>
      <c r="G24" s="14" t="n">
        <v>0.411409375</v>
      </c>
    </row>
    <row r="25" customFormat="false" ht="15" hidden="false" customHeight="false" outlineLevel="0" collapsed="false">
      <c r="A25" s="10" t="s">
        <v>31</v>
      </c>
      <c r="B25" s="9" t="n">
        <v>39</v>
      </c>
      <c r="C25" s="9" t="n">
        <v>30921</v>
      </c>
      <c r="D25" s="9" t="n">
        <f aca="false">IFERROR(C25/B25,0)</f>
        <v>792.846153846154</v>
      </c>
      <c r="E25" s="9" t="n">
        <v>15</v>
      </c>
      <c r="F25" s="13" t="n">
        <f aca="false">IFERROR(E25/C25*1000,0)</f>
        <v>0.485107208693121</v>
      </c>
      <c r="G25" s="14" t="n">
        <v>0.43331935483871</v>
      </c>
    </row>
    <row r="26" customFormat="false" ht="15" hidden="false" customHeight="false" outlineLevel="0" collapsed="false">
      <c r="A26" s="10" t="s">
        <v>32</v>
      </c>
      <c r="B26" s="9" t="n">
        <v>40</v>
      </c>
      <c r="C26" s="9" t="n">
        <v>43697</v>
      </c>
      <c r="D26" s="9" t="n">
        <f aca="false">IFERROR(C26/B26,0)</f>
        <v>1092.425</v>
      </c>
      <c r="E26" s="9" t="n">
        <v>31</v>
      </c>
      <c r="F26" s="13" t="n">
        <f aca="false">IFERROR(E26/C26*1000,0)</f>
        <v>0.709430853376662</v>
      </c>
      <c r="G26" s="14" t="n">
        <v>0.560715151515152</v>
      </c>
    </row>
    <row r="27" customFormat="false" ht="15" hidden="false" customHeight="false" outlineLevel="0" collapsed="false">
      <c r="A27" s="15" t="s">
        <v>33</v>
      </c>
      <c r="B27" s="16" t="n">
        <f aca="false">SUM(B21:B26)</f>
        <v>263</v>
      </c>
      <c r="C27" s="16" t="n">
        <f aca="false">SUM(C21:C26)</f>
        <v>211904</v>
      </c>
      <c r="D27" s="16" t="n">
        <f aca="false">IFERROR(C27/B27,0)</f>
        <v>805.718631178707</v>
      </c>
      <c r="E27" s="16" t="n">
        <f aca="false">SUM(E21:E26)</f>
        <v>104</v>
      </c>
      <c r="F27" s="17" t="n">
        <f aca="false">IFERROR(E27/C27*1000,0)</f>
        <v>0.490788281485956</v>
      </c>
      <c r="G27" s="18" t="n">
        <f aca="false">IFERROR(SUMPRODUCT(B21:B26,G21:G26)/B27,0)</f>
        <v>0.458154815417762</v>
      </c>
    </row>
    <row r="29" customFormat="false" ht="15" hidden="false" customHeight="false" outlineLevel="0" collapsed="false">
      <c r="A29" s="19" t="s">
        <v>34</v>
      </c>
    </row>
  </sheetData>
  <mergeCells count="4">
    <mergeCell ref="A1:G1"/>
    <mergeCell ref="A4:G6"/>
    <mergeCell ref="A8:G8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</cols>
  <sheetData>
    <row r="1" customFormat="false" ht="21.6" hidden="false" customHeight="false" outlineLevel="0" collapsed="false">
      <c r="A1" s="20" t="s">
        <v>35</v>
      </c>
      <c r="B1" s="20"/>
      <c r="C1" s="20"/>
      <c r="D1" s="20"/>
      <c r="E1" s="20"/>
      <c r="F1" s="20"/>
      <c r="G1" s="20"/>
      <c r="H1" s="20"/>
      <c r="I1" s="20"/>
      <c r="J1" s="20"/>
    </row>
    <row r="3" customFormat="false" ht="27.75" hidden="false" customHeight="true" outlineLevel="0" collapsed="false">
      <c r="A3" s="7" t="s">
        <v>20</v>
      </c>
      <c r="B3" s="7" t="s">
        <v>21</v>
      </c>
      <c r="C3" s="7" t="s">
        <v>23</v>
      </c>
      <c r="D3" s="7" t="s">
        <v>22</v>
      </c>
      <c r="E3" s="7" t="s">
        <v>24</v>
      </c>
      <c r="F3" s="7" t="s">
        <v>25</v>
      </c>
      <c r="G3" s="7" t="s">
        <v>36</v>
      </c>
      <c r="H3" s="7" t="s">
        <v>26</v>
      </c>
      <c r="I3" s="7" t="s">
        <v>37</v>
      </c>
      <c r="J3" s="21" t="s">
        <v>38</v>
      </c>
    </row>
    <row r="4" customFormat="false" ht="15" hidden="false" customHeight="false" outlineLevel="0" collapsed="false">
      <c r="A4" s="10" t="s">
        <v>27</v>
      </c>
      <c r="B4" s="9" t="n">
        <v>43</v>
      </c>
      <c r="C4" s="9" t="n">
        <f aca="false">IFERROR(D4/B4,0)</f>
        <v>717.255813953488</v>
      </c>
      <c r="D4" s="9" t="n">
        <v>30842</v>
      </c>
      <c r="E4" s="9" t="n">
        <v>15</v>
      </c>
      <c r="F4" s="13" t="n">
        <f aca="false">IFERROR(E4/D4*1000,0)</f>
        <v>0.486349782763764</v>
      </c>
      <c r="G4" s="22" t="n">
        <v>0.00580377407431425</v>
      </c>
      <c r="H4" s="14" t="n">
        <v>0.482280555555555</v>
      </c>
      <c r="I4" s="23" t="n">
        <v>0.0196656833824975</v>
      </c>
      <c r="J4" s="9" t="n">
        <v>16</v>
      </c>
    </row>
    <row r="5" customFormat="false" ht="15" hidden="false" customHeight="false" outlineLevel="0" collapsed="false">
      <c r="A5" s="10" t="s">
        <v>28</v>
      </c>
      <c r="B5" s="9" t="n">
        <v>52</v>
      </c>
      <c r="C5" s="9" t="n">
        <f aca="false">IFERROR(D5/B5,0)</f>
        <v>648.480769230769</v>
      </c>
      <c r="D5" s="9" t="n">
        <v>33721</v>
      </c>
      <c r="E5" s="9" t="n">
        <v>26</v>
      </c>
      <c r="F5" s="13" t="n">
        <f aca="false">IFERROR(E5/D5*1000,0)</f>
        <v>0.771032887518164</v>
      </c>
      <c r="G5" s="22" t="n">
        <v>0.00409240532605795</v>
      </c>
      <c r="H5" s="14" t="n">
        <v>0.385533333333333</v>
      </c>
      <c r="I5" s="23" t="n">
        <v>0.0124836356835609</v>
      </c>
      <c r="J5" s="9" t="n">
        <v>42</v>
      </c>
    </row>
    <row r="6" customFormat="false" ht="15" hidden="false" customHeight="false" outlineLevel="0" collapsed="false">
      <c r="A6" s="10" t="s">
        <v>29</v>
      </c>
      <c r="B6" s="9" t="n">
        <v>49</v>
      </c>
      <c r="C6" s="9" t="n">
        <f aca="false">IFERROR(D6/B6,0)</f>
        <v>822.102040816327</v>
      </c>
      <c r="D6" s="9" t="n">
        <v>40283</v>
      </c>
      <c r="E6" s="9" t="n">
        <v>8</v>
      </c>
      <c r="F6" s="13" t="n">
        <f aca="false">IFERROR(E6/D6*1000,0)</f>
        <v>0.198594940793883</v>
      </c>
      <c r="G6" s="22" t="n">
        <v>0.00230866618672889</v>
      </c>
      <c r="H6" s="14" t="n">
        <v>0.488254761904762</v>
      </c>
      <c r="I6" s="23" t="n">
        <v>0.0315315315315315</v>
      </c>
      <c r="J6" s="9" t="n">
        <v>13</v>
      </c>
    </row>
    <row r="7" customFormat="false" ht="15" hidden="false" customHeight="false" outlineLevel="0" collapsed="false">
      <c r="A7" s="10" t="s">
        <v>30</v>
      </c>
      <c r="B7" s="9" t="n">
        <v>40</v>
      </c>
      <c r="C7" s="9" t="n">
        <f aca="false">IFERROR(D7/B7,0)</f>
        <v>811</v>
      </c>
      <c r="D7" s="9" t="n">
        <v>32440</v>
      </c>
      <c r="E7" s="9" t="n">
        <v>9</v>
      </c>
      <c r="F7" s="13" t="n">
        <f aca="false">IFERROR(E7/D7*1000,0)</f>
        <v>0.277435265104809</v>
      </c>
      <c r="G7" s="22" t="n">
        <v>0.00218865598027127</v>
      </c>
      <c r="H7" s="14" t="n">
        <v>0.411409375</v>
      </c>
      <c r="I7" s="23" t="n">
        <v>0.0193853427895981</v>
      </c>
      <c r="J7" s="9" t="n">
        <v>19</v>
      </c>
    </row>
    <row r="8" customFormat="false" ht="15" hidden="false" customHeight="false" outlineLevel="0" collapsed="false">
      <c r="A8" s="10" t="s">
        <v>31</v>
      </c>
      <c r="B8" s="9" t="n">
        <v>39</v>
      </c>
      <c r="C8" s="9" t="n">
        <f aca="false">IFERROR(D8/B8,0)</f>
        <v>792.846153846154</v>
      </c>
      <c r="D8" s="9" t="n">
        <v>30921</v>
      </c>
      <c r="E8" s="9" t="n">
        <v>15</v>
      </c>
      <c r="F8" s="13" t="n">
        <f aca="false">IFERROR(E8/D8*1000,0)</f>
        <v>0.485107208693121</v>
      </c>
      <c r="G8" s="22" t="n">
        <v>0.00475405064519259</v>
      </c>
      <c r="H8" s="14" t="n">
        <v>0.43331935483871</v>
      </c>
      <c r="I8" s="23" t="n">
        <v>0.0151035322777101</v>
      </c>
      <c r="J8" s="9" t="n">
        <v>25</v>
      </c>
    </row>
    <row r="9" customFormat="false" ht="15" hidden="false" customHeight="false" outlineLevel="0" collapsed="false">
      <c r="A9" s="10" t="s">
        <v>32</v>
      </c>
      <c r="B9" s="9" t="n">
        <v>40</v>
      </c>
      <c r="C9" s="9" t="n">
        <f aca="false">IFERROR(D9/B9,0)</f>
        <v>1092.425</v>
      </c>
      <c r="D9" s="9" t="n">
        <v>43697</v>
      </c>
      <c r="E9" s="9" t="n">
        <v>31</v>
      </c>
      <c r="F9" s="13" t="n">
        <f aca="false">IFERROR(E9/D9*1000,0)</f>
        <v>0.709430853376662</v>
      </c>
      <c r="G9" s="22" t="n">
        <v>0.0033411904707417</v>
      </c>
      <c r="H9" s="14" t="n">
        <v>0.560715151515152</v>
      </c>
      <c r="I9" s="23" t="n">
        <v>0.0287440796994937</v>
      </c>
      <c r="J9" s="9" t="n">
        <v>31</v>
      </c>
    </row>
    <row r="10" customFormat="false" ht="15" hidden="false" customHeight="false" outlineLevel="0" collapsed="false">
      <c r="A10" s="15" t="s">
        <v>33</v>
      </c>
      <c r="B10" s="16" t="n">
        <f aca="false">SUM(B4:B9)</f>
        <v>263</v>
      </c>
      <c r="C10" s="16" t="n">
        <f aca="false">IFERROR(D10/B10,0)</f>
        <v>805.718631178707</v>
      </c>
      <c r="D10" s="16" t="n">
        <f aca="false">SUM(D4:D9)</f>
        <v>211904</v>
      </c>
      <c r="E10" s="16" t="n">
        <f aca="false">SUM(E4:E9)</f>
        <v>104</v>
      </c>
      <c r="F10" s="17" t="n">
        <f aca="false">IFERROR(E10/D10*1000,0)</f>
        <v>0.490788281485956</v>
      </c>
      <c r="G10" s="24" t="n">
        <f aca="false">IFERROR(SUMPRODUCT(D4:D9,G4:G9)/D10,0)</f>
        <v>0.0036525974025974</v>
      </c>
      <c r="H10" s="18" t="n">
        <f aca="false">IFERROR(SUMPRODUCT(B4:B9,H4:H9)/B10,0)</f>
        <v>0.458154815417762</v>
      </c>
      <c r="I10" s="25" t="n">
        <f aca="false">IFERROR(SUMPRODUCT(J4:J9,I4:I9)/SUM(J4:J9),0)</f>
        <v>0.0197660947491017</v>
      </c>
      <c r="J10" s="16" t="n">
        <f aca="false">SUM(J4:J9)</f>
        <v>146</v>
      </c>
    </row>
    <row r="12" customFormat="false" ht="15" hidden="false" customHeight="false" outlineLevel="0" collapsed="false">
      <c r="A12" s="26" t="s">
        <v>39</v>
      </c>
    </row>
    <row r="13" customFormat="false" ht="15" hidden="false" customHeight="true" outlineLevel="0" collapsed="false">
      <c r="A13" s="27" t="s">
        <v>40</v>
      </c>
      <c r="B13" s="27"/>
      <c r="C13" s="27"/>
      <c r="D13" s="27"/>
      <c r="E13" s="27"/>
      <c r="F13" s="27"/>
      <c r="G13" s="27"/>
      <c r="H13" s="27"/>
      <c r="I13" s="27"/>
      <c r="J13" s="27"/>
    </row>
    <row r="14" customFormat="false" ht="15" hidden="false" customHeight="true" outlineLevel="0" collapsed="false">
      <c r="A14" s="27" t="s">
        <v>41</v>
      </c>
      <c r="B14" s="27"/>
      <c r="C14" s="27"/>
      <c r="D14" s="27"/>
      <c r="E14" s="27"/>
      <c r="F14" s="27"/>
      <c r="G14" s="27"/>
      <c r="H14" s="27"/>
      <c r="I14" s="27"/>
      <c r="J14" s="27"/>
    </row>
    <row r="15" customFormat="false" ht="15" hidden="false" customHeight="true" outlineLevel="0" collapsed="false">
      <c r="A15" s="27" t="s">
        <v>42</v>
      </c>
      <c r="B15" s="27"/>
      <c r="C15" s="27"/>
      <c r="D15" s="27"/>
      <c r="E15" s="27"/>
      <c r="F15" s="27"/>
      <c r="G15" s="27"/>
      <c r="H15" s="27"/>
      <c r="I15" s="27"/>
      <c r="J15" s="27"/>
    </row>
    <row r="16" customFormat="false" ht="15" hidden="false" customHeight="true" outlineLevel="0" collapsed="false">
      <c r="A16" s="27" t="s">
        <v>43</v>
      </c>
      <c r="B16" s="27"/>
      <c r="C16" s="27"/>
      <c r="D16" s="27"/>
      <c r="E16" s="27"/>
      <c r="F16" s="27"/>
      <c r="G16" s="27"/>
      <c r="H16" s="27"/>
      <c r="I16" s="27"/>
      <c r="J16" s="27"/>
    </row>
    <row r="17" customFormat="false" ht="29.85" hidden="false" customHeight="true" outlineLevel="0" collapsed="false">
      <c r="A17" s="27" t="s">
        <v>44</v>
      </c>
      <c r="B17" s="27"/>
      <c r="C17" s="27"/>
      <c r="D17" s="27"/>
      <c r="E17" s="27"/>
      <c r="F17" s="27"/>
      <c r="G17" s="27"/>
      <c r="H17" s="27"/>
      <c r="I17" s="27"/>
      <c r="J17" s="27"/>
    </row>
  </sheetData>
  <mergeCells count="6">
    <mergeCell ref="A1:J1"/>
    <mergeCell ref="A13:J13"/>
    <mergeCell ref="A14:J14"/>
    <mergeCell ref="A15:J15"/>
    <mergeCell ref="A16:J16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9"/>
  </cols>
  <sheetData>
    <row r="1" customFormat="false" ht="21.6" hidden="false" customHeight="false" outlineLevel="0" collapsed="false">
      <c r="A1" s="20" t="s">
        <v>45</v>
      </c>
      <c r="B1" s="20"/>
      <c r="C1" s="20"/>
      <c r="D1" s="20"/>
      <c r="E1" s="20"/>
      <c r="F1" s="20"/>
      <c r="G1" s="20"/>
      <c r="H1" s="20"/>
      <c r="I1" s="20"/>
    </row>
    <row r="3" customFormat="false" ht="27.75" hidden="false" customHeight="true" outlineLevel="0" collapsed="false">
      <c r="A3" s="7" t="s">
        <v>20</v>
      </c>
      <c r="B3" s="7" t="s">
        <v>46</v>
      </c>
      <c r="C3" s="7" t="s">
        <v>47</v>
      </c>
      <c r="D3" s="7" t="s">
        <v>48</v>
      </c>
      <c r="E3" s="7" t="s">
        <v>24</v>
      </c>
      <c r="F3" s="7" t="s">
        <v>25</v>
      </c>
      <c r="G3" s="7" t="s">
        <v>26</v>
      </c>
      <c r="H3" s="7" t="s">
        <v>49</v>
      </c>
      <c r="I3" s="21" t="s">
        <v>50</v>
      </c>
    </row>
    <row r="4" customFormat="false" ht="15" hidden="false" customHeight="false" outlineLevel="0" collapsed="false">
      <c r="A4" s="10" t="s">
        <v>32</v>
      </c>
      <c r="B4" s="28" t="s">
        <v>51</v>
      </c>
      <c r="C4" s="12" t="s">
        <v>52</v>
      </c>
      <c r="D4" s="9" t="n">
        <v>3606</v>
      </c>
      <c r="E4" s="9" t="n">
        <v>6</v>
      </c>
      <c r="F4" s="29" t="n">
        <f aca="false">IFERROR(E4/D4*1000,0)</f>
        <v>1.66389351081531</v>
      </c>
      <c r="G4" s="14" t="n">
        <v>0.79</v>
      </c>
      <c r="H4" s="9" t="n">
        <v>8</v>
      </c>
      <c r="I4" s="23" t="n">
        <v>0.0307167235494881</v>
      </c>
    </row>
    <row r="5" customFormat="false" ht="15" hidden="false" customHeight="false" outlineLevel="0" collapsed="false">
      <c r="A5" s="10" t="s">
        <v>32</v>
      </c>
      <c r="B5" s="28" t="s">
        <v>53</v>
      </c>
      <c r="C5" s="12" t="s">
        <v>54</v>
      </c>
      <c r="D5" s="9" t="n">
        <v>5204</v>
      </c>
      <c r="E5" s="9" t="n">
        <v>4</v>
      </c>
      <c r="F5" s="29" t="n">
        <f aca="false">IFERROR(E5/D5*1000,0)</f>
        <v>0.768639508070715</v>
      </c>
      <c r="G5" s="14" t="n">
        <v>0.501</v>
      </c>
      <c r="H5" s="9" t="n">
        <v>10</v>
      </c>
      <c r="I5" s="23" t="n">
        <v>0.0102040816326531</v>
      </c>
    </row>
    <row r="6" customFormat="false" ht="15" hidden="false" customHeight="false" outlineLevel="0" collapsed="false">
      <c r="A6" s="10" t="s">
        <v>32</v>
      </c>
      <c r="B6" s="28" t="s">
        <v>55</v>
      </c>
      <c r="C6" s="12" t="s">
        <v>56</v>
      </c>
      <c r="D6" s="9" t="n">
        <v>2246</v>
      </c>
      <c r="E6" s="9" t="n">
        <v>3</v>
      </c>
      <c r="F6" s="29" t="n">
        <f aca="false">IFERROR(E6/D6*1000,0)</f>
        <v>1.33570792520036</v>
      </c>
      <c r="G6" s="14" t="n">
        <v>0.8987</v>
      </c>
      <c r="H6" s="9" t="n">
        <v>23</v>
      </c>
      <c r="I6" s="23" t="n">
        <v>0.021875</v>
      </c>
    </row>
    <row r="7" customFormat="false" ht="15" hidden="false" customHeight="false" outlineLevel="0" collapsed="false">
      <c r="A7" s="10" t="s">
        <v>31</v>
      </c>
      <c r="B7" s="28" t="s">
        <v>57</v>
      </c>
      <c r="C7" s="12" t="s">
        <v>58</v>
      </c>
      <c r="D7" s="9" t="n">
        <v>992</v>
      </c>
      <c r="E7" s="9" t="n">
        <v>3</v>
      </c>
      <c r="F7" s="29" t="n">
        <f aca="false">IFERROR(E7/D7*1000,0)</f>
        <v>3.0241935483871</v>
      </c>
      <c r="G7" s="14" t="n">
        <v>0.4237</v>
      </c>
      <c r="H7" s="9" t="n">
        <v>10</v>
      </c>
      <c r="I7" s="23" t="n">
        <v>0</v>
      </c>
    </row>
    <row r="8" customFormat="false" ht="15" hidden="false" customHeight="false" outlineLevel="0" collapsed="false">
      <c r="A8" s="10" t="s">
        <v>28</v>
      </c>
      <c r="B8" s="28" t="s">
        <v>51</v>
      </c>
      <c r="C8" s="12" t="s">
        <v>59</v>
      </c>
      <c r="D8" s="9" t="n">
        <v>990</v>
      </c>
      <c r="E8" s="9" t="n">
        <v>3</v>
      </c>
      <c r="F8" s="29" t="n">
        <f aca="false">IFERROR(E8/D8*1000,0)</f>
        <v>3.03030303030303</v>
      </c>
      <c r="G8" s="14" t="n">
        <v>0.3331</v>
      </c>
      <c r="H8" s="9" t="n">
        <v>6</v>
      </c>
      <c r="I8" s="23" t="n">
        <v>0.0193548387096774</v>
      </c>
    </row>
    <row r="9" customFormat="false" ht="15" hidden="false" customHeight="false" outlineLevel="0" collapsed="false">
      <c r="A9" s="10" t="s">
        <v>27</v>
      </c>
      <c r="B9" s="28" t="s">
        <v>60</v>
      </c>
      <c r="C9" s="12" t="s">
        <v>61</v>
      </c>
      <c r="D9" s="9" t="n">
        <v>864</v>
      </c>
      <c r="E9" s="9" t="n">
        <v>3</v>
      </c>
      <c r="F9" s="29" t="n">
        <f aca="false">IFERROR(E9/D9*1000,0)</f>
        <v>3.47222222222222</v>
      </c>
      <c r="G9" s="14" t="n">
        <v>0.4388</v>
      </c>
      <c r="H9" s="9" t="n">
        <v>9</v>
      </c>
      <c r="I9" s="23" t="n">
        <v>0</v>
      </c>
    </row>
    <row r="10" customFormat="false" ht="15" hidden="false" customHeight="false" outlineLevel="0" collapsed="false">
      <c r="A10" s="10" t="s">
        <v>32</v>
      </c>
      <c r="B10" s="28" t="s">
        <v>55</v>
      </c>
      <c r="C10" s="12" t="s">
        <v>62</v>
      </c>
      <c r="D10" s="9" t="n">
        <v>1983</v>
      </c>
      <c r="E10" s="9" t="n">
        <v>2</v>
      </c>
      <c r="F10" s="29" t="n">
        <f aca="false">IFERROR(E10/D10*1000,0)</f>
        <v>1.00857286938981</v>
      </c>
      <c r="G10" s="14" t="n">
        <v>0.7348</v>
      </c>
      <c r="H10" s="9" t="n">
        <v>16</v>
      </c>
      <c r="I10" s="23" t="n">
        <v>0.0530503978779841</v>
      </c>
    </row>
    <row r="11" customFormat="false" ht="15" hidden="false" customHeight="false" outlineLevel="0" collapsed="false">
      <c r="A11" s="10" t="s">
        <v>29</v>
      </c>
      <c r="B11" s="28" t="s">
        <v>63</v>
      </c>
      <c r="C11" s="12" t="s">
        <v>64</v>
      </c>
      <c r="D11" s="9" t="n">
        <v>1319</v>
      </c>
      <c r="E11" s="9" t="n">
        <v>2</v>
      </c>
      <c r="F11" s="29" t="n">
        <f aca="false">IFERROR(E11/D11*1000,0)</f>
        <v>1.51630022744503</v>
      </c>
      <c r="G11" s="14" t="n">
        <v>0.5149</v>
      </c>
      <c r="H11" s="9" t="n">
        <v>4</v>
      </c>
      <c r="I11" s="23" t="n">
        <v>0.037037037037037</v>
      </c>
    </row>
    <row r="12" customFormat="false" ht="15" hidden="false" customHeight="false" outlineLevel="0" collapsed="false">
      <c r="A12" s="10" t="s">
        <v>31</v>
      </c>
      <c r="B12" s="28" t="s">
        <v>65</v>
      </c>
      <c r="C12" s="12" t="s">
        <v>66</v>
      </c>
      <c r="D12" s="9" t="n">
        <v>1177</v>
      </c>
      <c r="E12" s="9" t="n">
        <v>2</v>
      </c>
      <c r="F12" s="29" t="n">
        <f aca="false">IFERROR(E12/D12*1000,0)</f>
        <v>1.69923534409516</v>
      </c>
      <c r="G12" s="14" t="n">
        <v>0.6495</v>
      </c>
      <c r="H12" s="9" t="n">
        <v>10</v>
      </c>
      <c r="I12" s="23" t="n">
        <v>0.00396825396825397</v>
      </c>
    </row>
    <row r="13" customFormat="false" ht="15" hidden="false" customHeight="false" outlineLevel="0" collapsed="false">
      <c r="A13" s="10" t="s">
        <v>32</v>
      </c>
      <c r="B13" s="28" t="s">
        <v>63</v>
      </c>
      <c r="C13" s="12" t="s">
        <v>67</v>
      </c>
      <c r="D13" s="9" t="n">
        <v>1123</v>
      </c>
      <c r="E13" s="9" t="n">
        <v>2</v>
      </c>
      <c r="F13" s="29" t="n">
        <f aca="false">IFERROR(E13/D13*1000,0)</f>
        <v>1.78094390026714</v>
      </c>
      <c r="G13" s="14" t="n">
        <v>0.4231</v>
      </c>
      <c r="H13" s="9" t="n">
        <v>10</v>
      </c>
      <c r="I13" s="23" t="n">
        <v>0.0638297872340426</v>
      </c>
    </row>
    <row r="14" customFormat="false" ht="29.85" hidden="false" customHeight="false" outlineLevel="0" collapsed="false">
      <c r="A14" s="10" t="s">
        <v>28</v>
      </c>
      <c r="B14" s="28" t="s">
        <v>57</v>
      </c>
      <c r="C14" s="10" t="s">
        <v>68</v>
      </c>
      <c r="D14" s="9" t="n">
        <v>1088</v>
      </c>
      <c r="E14" s="9" t="n">
        <v>2</v>
      </c>
      <c r="F14" s="29" t="n">
        <f aca="false">IFERROR(E14/D14*1000,0)</f>
        <v>1.83823529411765</v>
      </c>
      <c r="G14" s="14" t="n">
        <v>0.3977</v>
      </c>
      <c r="H14" s="9" t="n">
        <v>6</v>
      </c>
      <c r="I14" s="23" t="n">
        <v>0.00733496332518337</v>
      </c>
    </row>
    <row r="15" customFormat="false" ht="29.85" hidden="false" customHeight="false" outlineLevel="0" collapsed="false">
      <c r="A15" s="10" t="s">
        <v>28</v>
      </c>
      <c r="B15" s="28" t="s">
        <v>69</v>
      </c>
      <c r="C15" s="10" t="s">
        <v>70</v>
      </c>
      <c r="D15" s="9" t="n">
        <v>1064</v>
      </c>
      <c r="E15" s="9" t="n">
        <v>2</v>
      </c>
      <c r="F15" s="29" t="n">
        <f aca="false">IFERROR(E15/D15*1000,0)</f>
        <v>1.8796992481203</v>
      </c>
      <c r="G15" s="14" t="n">
        <v>0.4588</v>
      </c>
      <c r="H15" s="9" t="n">
        <v>5</v>
      </c>
      <c r="I15" s="23" t="n">
        <v>0.018796992481203</v>
      </c>
    </row>
    <row r="16" customFormat="false" ht="15" hidden="false" customHeight="false" outlineLevel="0" collapsed="false">
      <c r="A16" s="10" t="s">
        <v>32</v>
      </c>
      <c r="B16" s="28" t="s">
        <v>71</v>
      </c>
      <c r="C16" s="12" t="s">
        <v>72</v>
      </c>
      <c r="D16" s="9" t="n">
        <v>1058</v>
      </c>
      <c r="E16" s="9" t="n">
        <v>2</v>
      </c>
      <c r="F16" s="29" t="n">
        <f aca="false">IFERROR(E16/D16*1000,0)</f>
        <v>1.89035916824197</v>
      </c>
      <c r="G16" s="14" t="n">
        <v>0.3903</v>
      </c>
      <c r="H16" s="9" t="n">
        <v>3</v>
      </c>
      <c r="I16" s="23" t="n">
        <v>0.0441176470588235</v>
      </c>
    </row>
    <row r="17" customFormat="false" ht="29.85" hidden="false" customHeight="false" outlineLevel="0" collapsed="false">
      <c r="A17" s="10" t="s">
        <v>30</v>
      </c>
      <c r="B17" s="28" t="s">
        <v>73</v>
      </c>
      <c r="C17" s="10" t="s">
        <v>74</v>
      </c>
      <c r="D17" s="9" t="n">
        <v>1051</v>
      </c>
      <c r="E17" s="9" t="n">
        <v>2</v>
      </c>
      <c r="F17" s="29" t="n">
        <f aca="false">IFERROR(E17/D17*1000,0)</f>
        <v>1.90294957183635</v>
      </c>
      <c r="G17" s="14" t="n">
        <v>0.267</v>
      </c>
      <c r="H17" s="9" t="n">
        <v>4</v>
      </c>
      <c r="I17" s="23" t="n">
        <v>0.045045045045045</v>
      </c>
    </row>
    <row r="18" customFormat="false" ht="15" hidden="false" customHeight="false" outlineLevel="0" collapsed="false">
      <c r="A18" s="10" t="s">
        <v>31</v>
      </c>
      <c r="B18" s="28" t="s">
        <v>75</v>
      </c>
      <c r="C18" s="12" t="s">
        <v>76</v>
      </c>
      <c r="D18" s="9" t="n">
        <v>1013</v>
      </c>
      <c r="E18" s="9" t="n">
        <v>2</v>
      </c>
      <c r="F18" s="29" t="n">
        <f aca="false">IFERROR(E18/D18*1000,0)</f>
        <v>1.97433366238894</v>
      </c>
      <c r="G18" s="14" t="n">
        <v>0.4615</v>
      </c>
      <c r="H18" s="9" t="n">
        <v>6</v>
      </c>
      <c r="I18" s="23" t="n">
        <v>0.0363636363636364</v>
      </c>
    </row>
    <row r="19" customFormat="false" ht="15" hidden="false" customHeight="false" outlineLevel="0" collapsed="false">
      <c r="A19" s="10" t="s">
        <v>32</v>
      </c>
      <c r="B19" s="28" t="s">
        <v>60</v>
      </c>
      <c r="C19" s="10" t="s">
        <v>77</v>
      </c>
      <c r="D19" s="9" t="n">
        <v>1010</v>
      </c>
      <c r="E19" s="9" t="n">
        <v>2</v>
      </c>
      <c r="F19" s="29" t="n">
        <f aca="false">IFERROR(E19/D19*1000,0)</f>
        <v>1.98019801980198</v>
      </c>
      <c r="G19" s="14" t="n">
        <v>0.4656</v>
      </c>
      <c r="H19" s="9" t="n">
        <v>3</v>
      </c>
      <c r="I19" s="23" t="n">
        <v>0</v>
      </c>
    </row>
    <row r="20" customFormat="false" ht="29.85" hidden="false" customHeight="false" outlineLevel="0" collapsed="false">
      <c r="A20" s="10" t="s">
        <v>31</v>
      </c>
      <c r="B20" s="28" t="s">
        <v>57</v>
      </c>
      <c r="C20" s="12" t="s">
        <v>78</v>
      </c>
      <c r="D20" s="9" t="n">
        <v>968</v>
      </c>
      <c r="E20" s="9" t="n">
        <v>2</v>
      </c>
      <c r="F20" s="29" t="n">
        <f aca="false">IFERROR(E20/D20*1000,0)</f>
        <v>2.06611570247934</v>
      </c>
      <c r="G20" s="14" t="n">
        <v>0.5223</v>
      </c>
      <c r="H20" s="9" t="n">
        <v>14</v>
      </c>
      <c r="I20" s="23" t="n">
        <v>0</v>
      </c>
    </row>
    <row r="21" customFormat="false" ht="15" hidden="false" customHeight="false" outlineLevel="0" collapsed="false">
      <c r="A21" s="10" t="s">
        <v>28</v>
      </c>
      <c r="B21" s="28" t="s">
        <v>79</v>
      </c>
      <c r="C21" s="10" t="s">
        <v>80</v>
      </c>
      <c r="D21" s="9" t="n">
        <v>961</v>
      </c>
      <c r="E21" s="9" t="n">
        <v>2</v>
      </c>
      <c r="F21" s="29" t="n">
        <f aca="false">IFERROR(E21/D21*1000,0)</f>
        <v>2.08116545265349</v>
      </c>
      <c r="G21" s="14" t="n">
        <v>0.5974</v>
      </c>
      <c r="H21" s="9" t="n">
        <v>1</v>
      </c>
      <c r="I21" s="23" t="n">
        <v>0.00675675675675676</v>
      </c>
    </row>
    <row r="22" customFormat="false" ht="15" hidden="false" customHeight="false" outlineLevel="0" collapsed="false">
      <c r="A22" s="10" t="s">
        <v>28</v>
      </c>
      <c r="B22" s="28" t="s">
        <v>81</v>
      </c>
      <c r="C22" s="10" t="s">
        <v>82</v>
      </c>
      <c r="D22" s="9" t="n">
        <v>951</v>
      </c>
      <c r="E22" s="9" t="n">
        <v>2</v>
      </c>
      <c r="F22" s="29" t="n">
        <f aca="false">IFERROR(E22/D22*1000,0)</f>
        <v>2.10304942166141</v>
      </c>
      <c r="G22" s="14" t="n">
        <v>0.3839</v>
      </c>
      <c r="H22" s="9" t="n">
        <v>1</v>
      </c>
      <c r="I22" s="23" t="n">
        <v>0.00581395348837209</v>
      </c>
    </row>
    <row r="23" customFormat="false" ht="29.85" hidden="false" customHeight="false" outlineLevel="0" collapsed="false">
      <c r="A23" s="10" t="s">
        <v>29</v>
      </c>
      <c r="B23" s="28" t="s">
        <v>83</v>
      </c>
      <c r="C23" s="12" t="s">
        <v>84</v>
      </c>
      <c r="D23" s="9" t="n">
        <v>914</v>
      </c>
      <c r="E23" s="9" t="n">
        <v>2</v>
      </c>
      <c r="F23" s="29" t="n">
        <f aca="false">IFERROR(E23/D23*1000,0)</f>
        <v>2.18818380743982</v>
      </c>
      <c r="G23" s="14" t="n">
        <v>0.3856</v>
      </c>
      <c r="H23" s="9" t="n">
        <v>1</v>
      </c>
      <c r="I23" s="23" t="n">
        <v>0</v>
      </c>
    </row>
    <row r="24" customFormat="false" ht="15" hidden="false" customHeight="false" outlineLevel="0" collapsed="false">
      <c r="A24" s="10" t="s">
        <v>28</v>
      </c>
      <c r="B24" s="28" t="s">
        <v>75</v>
      </c>
      <c r="C24" s="10" t="s">
        <v>85</v>
      </c>
      <c r="D24" s="9" t="n">
        <v>911</v>
      </c>
      <c r="E24" s="9" t="n">
        <v>2</v>
      </c>
      <c r="F24" s="29" t="n">
        <f aca="false">IFERROR(E24/D24*1000,0)</f>
        <v>2.1953896816685</v>
      </c>
      <c r="G24" s="14" t="n">
        <v>0.4004</v>
      </c>
      <c r="H24" s="9" t="n">
        <v>7</v>
      </c>
      <c r="I24" s="23" t="n">
        <v>0.027027027027027</v>
      </c>
    </row>
    <row r="25" customFormat="false" ht="29.85" hidden="false" customHeight="false" outlineLevel="0" collapsed="false">
      <c r="A25" s="10" t="s">
        <v>27</v>
      </c>
      <c r="B25" s="28" t="s">
        <v>86</v>
      </c>
      <c r="C25" s="10" t="s">
        <v>87</v>
      </c>
      <c r="D25" s="9" t="n">
        <v>825</v>
      </c>
      <c r="E25" s="9" t="n">
        <v>2</v>
      </c>
      <c r="F25" s="29" t="n">
        <f aca="false">IFERROR(E25/D25*1000,0)</f>
        <v>2.42424242424242</v>
      </c>
      <c r="G25" s="14" t="n">
        <v>0.3001</v>
      </c>
      <c r="H25" s="9" t="n">
        <v>5</v>
      </c>
      <c r="I25" s="23" t="n">
        <v>0.0135135135135135</v>
      </c>
    </row>
    <row r="26" customFormat="false" ht="29.85" hidden="false" customHeight="false" outlineLevel="0" collapsed="false">
      <c r="A26" s="10" t="s">
        <v>31</v>
      </c>
      <c r="B26" s="28" t="s">
        <v>88</v>
      </c>
      <c r="C26" s="12" t="s">
        <v>89</v>
      </c>
      <c r="D26" s="9" t="n">
        <v>1909</v>
      </c>
      <c r="E26" s="9" t="n">
        <v>1</v>
      </c>
      <c r="F26" s="29" t="n">
        <f aca="false">IFERROR(E26/D26*1000,0)</f>
        <v>0.523834468308015</v>
      </c>
      <c r="G26" s="14" t="n">
        <v>0.5736</v>
      </c>
      <c r="H26" s="9" t="n">
        <v>7</v>
      </c>
      <c r="I26" s="23" t="n">
        <v>0.0229885057471264</v>
      </c>
    </row>
    <row r="27" customFormat="false" ht="29.85" hidden="false" customHeight="false" outlineLevel="0" collapsed="false">
      <c r="A27" s="10" t="s">
        <v>32</v>
      </c>
      <c r="B27" s="28" t="s">
        <v>83</v>
      </c>
      <c r="C27" s="12" t="s">
        <v>90</v>
      </c>
      <c r="D27" s="9" t="n">
        <v>1730</v>
      </c>
      <c r="E27" s="9" t="n">
        <v>1</v>
      </c>
      <c r="F27" s="29" t="n">
        <f aca="false">IFERROR(E27/D27*1000,0)</f>
        <v>0.578034682080925</v>
      </c>
      <c r="G27" s="14" t="n">
        <v>0.7233</v>
      </c>
      <c r="H27" s="9" t="n">
        <v>7</v>
      </c>
      <c r="I27" s="23" t="n">
        <v>0.0231660231660232</v>
      </c>
    </row>
    <row r="28" customFormat="false" ht="15" hidden="false" customHeight="false" outlineLevel="0" collapsed="false">
      <c r="A28" s="10" t="s">
        <v>32</v>
      </c>
      <c r="B28" s="28" t="s">
        <v>91</v>
      </c>
      <c r="C28" s="12" t="s">
        <v>92</v>
      </c>
      <c r="D28" s="9" t="n">
        <v>1672</v>
      </c>
      <c r="E28" s="9" t="n">
        <v>1</v>
      </c>
      <c r="F28" s="29" t="n">
        <f aca="false">IFERROR(E28/D28*1000,0)</f>
        <v>0.598086124401914</v>
      </c>
      <c r="G28" s="14" t="n">
        <v>0.5874</v>
      </c>
      <c r="H28" s="9" t="n">
        <v>3</v>
      </c>
      <c r="I28" s="23" t="n">
        <v>0.02</v>
      </c>
    </row>
    <row r="29" customFormat="false" ht="29.85" hidden="false" customHeight="false" outlineLevel="0" collapsed="false">
      <c r="A29" s="10" t="s">
        <v>30</v>
      </c>
      <c r="B29" s="28" t="s">
        <v>63</v>
      </c>
      <c r="C29" s="12" t="s">
        <v>93</v>
      </c>
      <c r="D29" s="9" t="n">
        <v>1567</v>
      </c>
      <c r="E29" s="9" t="n">
        <v>1</v>
      </c>
      <c r="F29" s="29" t="n">
        <f aca="false">IFERROR(E29/D29*1000,0)</f>
        <v>0.638162093171666</v>
      </c>
      <c r="G29" s="14" t="n">
        <v>0.5447</v>
      </c>
      <c r="H29" s="9" t="n">
        <v>3</v>
      </c>
      <c r="I29" s="23" t="n">
        <v>0.0161290322580645</v>
      </c>
    </row>
    <row r="30" customFormat="false" ht="15" hidden="false" customHeight="false" outlineLevel="0" collapsed="false">
      <c r="A30" s="10" t="s">
        <v>32</v>
      </c>
      <c r="B30" s="28" t="s">
        <v>86</v>
      </c>
      <c r="C30" s="12" t="s">
        <v>94</v>
      </c>
      <c r="D30" s="9" t="n">
        <v>1483</v>
      </c>
      <c r="E30" s="9" t="n">
        <v>1</v>
      </c>
      <c r="F30" s="29" t="n">
        <f aca="false">IFERROR(E30/D30*1000,0)</f>
        <v>0.674308833445718</v>
      </c>
      <c r="G30" s="14" t="n">
        <v>0.5917</v>
      </c>
      <c r="H30" s="9" t="n">
        <v>2</v>
      </c>
      <c r="I30" s="23" t="n">
        <v>0.0378787878787879</v>
      </c>
    </row>
    <row r="31" customFormat="false" ht="15" hidden="false" customHeight="false" outlineLevel="0" collapsed="false">
      <c r="A31" s="10" t="s">
        <v>29</v>
      </c>
      <c r="B31" s="28" t="s">
        <v>63</v>
      </c>
      <c r="C31" s="12" t="s">
        <v>95</v>
      </c>
      <c r="D31" s="9" t="n">
        <v>1366</v>
      </c>
      <c r="E31" s="9" t="n">
        <v>1</v>
      </c>
      <c r="F31" s="29" t="n">
        <f aca="false">IFERROR(E31/D31*1000,0)</f>
        <v>0.732064421669107</v>
      </c>
      <c r="G31" s="14" t="n">
        <v>0.4989</v>
      </c>
      <c r="H31" s="9" t="n">
        <v>3</v>
      </c>
      <c r="I31" s="23" t="n">
        <v>0</v>
      </c>
    </row>
    <row r="32" customFormat="false" ht="15" hidden="false" customHeight="false" outlineLevel="0" collapsed="false">
      <c r="A32" s="10" t="s">
        <v>32</v>
      </c>
      <c r="B32" s="28" t="s">
        <v>86</v>
      </c>
      <c r="C32" s="10" t="s">
        <v>96</v>
      </c>
      <c r="D32" s="9" t="n">
        <v>1346</v>
      </c>
      <c r="E32" s="9" t="n">
        <v>1</v>
      </c>
      <c r="F32" s="29" t="n">
        <f aca="false">IFERROR(E32/D32*1000,0)</f>
        <v>0.742942050520059</v>
      </c>
      <c r="G32" s="14" t="n">
        <v>0.809</v>
      </c>
      <c r="H32" s="9" t="n">
        <v>4</v>
      </c>
      <c r="I32" s="23" t="n">
        <v>0.0161290322580645</v>
      </c>
    </row>
    <row r="33" customFormat="false" ht="29.85" hidden="false" customHeight="false" outlineLevel="0" collapsed="false">
      <c r="A33" s="10" t="s">
        <v>30</v>
      </c>
      <c r="B33" s="28" t="s">
        <v>97</v>
      </c>
      <c r="C33" s="12" t="s">
        <v>98</v>
      </c>
      <c r="D33" s="9" t="n">
        <v>1339</v>
      </c>
      <c r="E33" s="9" t="n">
        <v>1</v>
      </c>
      <c r="F33" s="29" t="n">
        <f aca="false">IFERROR(E33/D33*1000,0)</f>
        <v>0.746825989544436</v>
      </c>
      <c r="G33" s="14" t="n">
        <v>0.4901</v>
      </c>
      <c r="H33" s="9" t="n">
        <v>4</v>
      </c>
      <c r="I33" s="23" t="n">
        <v>0.0255102040816327</v>
      </c>
    </row>
    <row r="34" customFormat="false" ht="15" hidden="false" customHeight="false" outlineLevel="0" collapsed="false">
      <c r="A34" s="10" t="s">
        <v>32</v>
      </c>
      <c r="B34" s="28" t="s">
        <v>86</v>
      </c>
      <c r="C34" s="12" t="s">
        <v>99</v>
      </c>
      <c r="D34" s="9" t="n">
        <v>1334</v>
      </c>
      <c r="E34" s="9" t="n">
        <v>1</v>
      </c>
      <c r="F34" s="29" t="n">
        <f aca="false">IFERROR(E34/D34*1000,0)</f>
        <v>0.749625187406297</v>
      </c>
      <c r="G34" s="14" t="n">
        <v>0.5612</v>
      </c>
      <c r="H34" s="9" t="n">
        <v>5</v>
      </c>
      <c r="I34" s="23" t="n">
        <v>0</v>
      </c>
    </row>
    <row r="35" customFormat="false" ht="29.85" hidden="false" customHeight="false" outlineLevel="0" collapsed="false">
      <c r="A35" s="10" t="s">
        <v>32</v>
      </c>
      <c r="B35" s="28" t="s">
        <v>100</v>
      </c>
      <c r="C35" s="12" t="s">
        <v>101</v>
      </c>
      <c r="D35" s="9" t="n">
        <v>1327</v>
      </c>
      <c r="E35" s="9" t="n">
        <v>1</v>
      </c>
      <c r="F35" s="29" t="n">
        <f aca="false">IFERROR(E35/D35*1000,0)</f>
        <v>0.753579502637528</v>
      </c>
      <c r="G35" s="14" t="n">
        <v>0.5364</v>
      </c>
      <c r="H35" s="9" t="n">
        <v>4</v>
      </c>
      <c r="I35" s="23" t="n">
        <v>0.0283687943262411</v>
      </c>
    </row>
    <row r="36" customFormat="false" ht="15" hidden="false" customHeight="false" outlineLevel="0" collapsed="false">
      <c r="A36" s="10" t="s">
        <v>29</v>
      </c>
      <c r="B36" s="28" t="s">
        <v>102</v>
      </c>
      <c r="C36" s="12" t="s">
        <v>103</v>
      </c>
      <c r="D36" s="9" t="n">
        <v>1203</v>
      </c>
      <c r="E36" s="9" t="n">
        <v>1</v>
      </c>
      <c r="F36" s="29" t="n">
        <f aca="false">IFERROR(E36/D36*1000,0)</f>
        <v>0.831255195344971</v>
      </c>
      <c r="G36" s="14" t="n">
        <v>0.6159</v>
      </c>
      <c r="H36" s="9" t="n">
        <v>4</v>
      </c>
      <c r="I36" s="23" t="n">
        <v>0.0151515151515152</v>
      </c>
    </row>
    <row r="37" customFormat="false" ht="29.85" hidden="false" customHeight="false" outlineLevel="0" collapsed="false">
      <c r="A37" s="10" t="s">
        <v>32</v>
      </c>
      <c r="B37" s="28" t="s">
        <v>104</v>
      </c>
      <c r="C37" s="12" t="s">
        <v>105</v>
      </c>
      <c r="D37" s="9" t="n">
        <v>1198</v>
      </c>
      <c r="E37" s="9" t="n">
        <v>1</v>
      </c>
      <c r="F37" s="29" t="n">
        <f aca="false">IFERROR(E37/D37*1000,0)</f>
        <v>0.834724540901503</v>
      </c>
      <c r="G37" s="14" t="n">
        <v>0.4212</v>
      </c>
      <c r="H37" s="9" t="n">
        <v>2</v>
      </c>
      <c r="I37" s="23" t="n">
        <v>0</v>
      </c>
    </row>
    <row r="38" customFormat="false" ht="29.85" hidden="false" customHeight="false" outlineLevel="0" collapsed="false">
      <c r="A38" s="10" t="s">
        <v>31</v>
      </c>
      <c r="B38" s="28" t="s">
        <v>106</v>
      </c>
      <c r="C38" s="12" t="s">
        <v>107</v>
      </c>
      <c r="D38" s="9" t="n">
        <v>1111</v>
      </c>
      <c r="E38" s="9" t="n">
        <v>1</v>
      </c>
      <c r="F38" s="29" t="n">
        <f aca="false">IFERROR(E38/D38*1000,0)</f>
        <v>0.9000900090009</v>
      </c>
      <c r="G38" s="14" t="n">
        <v>0.4173</v>
      </c>
      <c r="H38" s="9" t="n">
        <v>6</v>
      </c>
      <c r="I38" s="23" t="n">
        <v>0.013215859030837</v>
      </c>
    </row>
    <row r="39" customFormat="false" ht="29.85" hidden="false" customHeight="false" outlineLevel="0" collapsed="false">
      <c r="A39" s="10" t="s">
        <v>27</v>
      </c>
      <c r="B39" s="28" t="s">
        <v>100</v>
      </c>
      <c r="C39" s="10" t="s">
        <v>108</v>
      </c>
      <c r="D39" s="9" t="n">
        <v>1076</v>
      </c>
      <c r="E39" s="9" t="n">
        <v>1</v>
      </c>
      <c r="F39" s="29" t="n">
        <f aca="false">IFERROR(E39/D39*1000,0)</f>
        <v>0.929368029739777</v>
      </c>
      <c r="G39" s="14" t="n">
        <v>0.3522</v>
      </c>
      <c r="H39" s="9" t="n">
        <v>10</v>
      </c>
      <c r="I39" s="23" t="n">
        <v>0.0384615384615385</v>
      </c>
    </row>
    <row r="40" customFormat="false" ht="29.85" hidden="false" customHeight="false" outlineLevel="0" collapsed="false">
      <c r="A40" s="10" t="s">
        <v>31</v>
      </c>
      <c r="B40" s="28" t="s">
        <v>75</v>
      </c>
      <c r="C40" s="12" t="s">
        <v>109</v>
      </c>
      <c r="D40" s="9" t="n">
        <v>1074</v>
      </c>
      <c r="E40" s="9" t="n">
        <v>1</v>
      </c>
      <c r="F40" s="29" t="n">
        <f aca="false">IFERROR(E40/D40*1000,0)</f>
        <v>0.931098696461825</v>
      </c>
      <c r="G40" s="14" t="n">
        <v>0.561</v>
      </c>
      <c r="H40" s="9" t="n">
        <v>14</v>
      </c>
      <c r="I40" s="23" t="n">
        <v>0.0204081632653061</v>
      </c>
    </row>
    <row r="41" customFormat="false" ht="29.85" hidden="false" customHeight="false" outlineLevel="0" collapsed="false">
      <c r="A41" s="10" t="s">
        <v>27</v>
      </c>
      <c r="B41" s="28" t="s">
        <v>88</v>
      </c>
      <c r="C41" s="12" t="s">
        <v>110</v>
      </c>
      <c r="D41" s="9" t="n">
        <v>1071</v>
      </c>
      <c r="E41" s="9" t="n">
        <v>1</v>
      </c>
      <c r="F41" s="29" t="n">
        <f aca="false">IFERROR(E41/D41*1000,0)</f>
        <v>0.933706816059757</v>
      </c>
      <c r="G41" s="14" t="n">
        <v>0.5303</v>
      </c>
      <c r="H41" s="9" t="n">
        <v>3</v>
      </c>
      <c r="I41" s="23" t="n">
        <v>0.03125</v>
      </c>
    </row>
    <row r="42" customFormat="false" ht="29.85" hidden="false" customHeight="false" outlineLevel="0" collapsed="false">
      <c r="A42" s="10" t="s">
        <v>27</v>
      </c>
      <c r="B42" s="28" t="s">
        <v>71</v>
      </c>
      <c r="C42" s="12" t="s">
        <v>111</v>
      </c>
      <c r="D42" s="9" t="n">
        <v>1065</v>
      </c>
      <c r="E42" s="9" t="n">
        <v>1</v>
      </c>
      <c r="F42" s="29" t="n">
        <f aca="false">IFERROR(E42/D42*1000,0)</f>
        <v>0.938967136150235</v>
      </c>
      <c r="G42" s="14" t="n">
        <v>0.5587</v>
      </c>
      <c r="H42" s="9" t="n">
        <v>4</v>
      </c>
      <c r="I42" s="23" t="n">
        <v>0</v>
      </c>
    </row>
    <row r="43" customFormat="false" ht="29.85" hidden="false" customHeight="false" outlineLevel="0" collapsed="false">
      <c r="A43" s="10" t="s">
        <v>28</v>
      </c>
      <c r="B43" s="28" t="s">
        <v>102</v>
      </c>
      <c r="C43" s="12" t="s">
        <v>112</v>
      </c>
      <c r="D43" s="9" t="n">
        <v>1061</v>
      </c>
      <c r="E43" s="9" t="n">
        <v>1</v>
      </c>
      <c r="F43" s="29" t="n">
        <f aca="false">IFERROR(E43/D43*1000,0)</f>
        <v>0.942507068803016</v>
      </c>
      <c r="G43" s="14" t="n">
        <v>0.2348</v>
      </c>
      <c r="H43" s="9" t="n">
        <v>2</v>
      </c>
      <c r="I43" s="23" t="n">
        <v>0.0125673249551167</v>
      </c>
    </row>
    <row r="44" customFormat="false" ht="29.85" hidden="false" customHeight="false" outlineLevel="0" collapsed="false">
      <c r="A44" s="10" t="s">
        <v>28</v>
      </c>
      <c r="B44" s="28" t="s">
        <v>86</v>
      </c>
      <c r="C44" s="12" t="s">
        <v>113</v>
      </c>
      <c r="D44" s="9" t="n">
        <v>1051</v>
      </c>
      <c r="E44" s="9" t="n">
        <v>1</v>
      </c>
      <c r="F44" s="29" t="n">
        <f aca="false">IFERROR(E44/D44*1000,0)</f>
        <v>0.951474785918173</v>
      </c>
      <c r="G44" s="14" t="n">
        <v>0.3128</v>
      </c>
      <c r="H44" s="9" t="n">
        <v>3</v>
      </c>
      <c r="I44" s="23" t="n">
        <v>0.0242424242424242</v>
      </c>
    </row>
    <row r="45" customFormat="false" ht="29.85" hidden="false" customHeight="false" outlineLevel="0" collapsed="false">
      <c r="A45" s="10" t="s">
        <v>29</v>
      </c>
      <c r="B45" s="28" t="s">
        <v>79</v>
      </c>
      <c r="C45" s="12" t="s">
        <v>114</v>
      </c>
      <c r="D45" s="9" t="n">
        <v>1039</v>
      </c>
      <c r="E45" s="9" t="n">
        <v>1</v>
      </c>
      <c r="F45" s="29" t="n">
        <f aca="false">IFERROR(E45/D45*1000,0)</f>
        <v>0.962463907603465</v>
      </c>
      <c r="G45" s="14" t="n">
        <v>0.3245</v>
      </c>
      <c r="H45" s="9" t="n">
        <v>3</v>
      </c>
      <c r="I45" s="23" t="n">
        <v>0</v>
      </c>
    </row>
    <row r="46" customFormat="false" ht="29.85" hidden="false" customHeight="false" outlineLevel="0" collapsed="false">
      <c r="A46" s="10" t="s">
        <v>28</v>
      </c>
      <c r="B46" s="28" t="s">
        <v>100</v>
      </c>
      <c r="C46" s="12" t="s">
        <v>115</v>
      </c>
      <c r="D46" s="9" t="n">
        <v>1034</v>
      </c>
      <c r="E46" s="9" t="n">
        <v>1</v>
      </c>
      <c r="F46" s="29" t="n">
        <f aca="false">IFERROR(E46/D46*1000,0)</f>
        <v>0.967117988394584</v>
      </c>
      <c r="G46" s="14" t="n">
        <v>0.238</v>
      </c>
      <c r="H46" s="9" t="n">
        <v>2</v>
      </c>
      <c r="I46" s="23" t="n">
        <v>0.0116731517509728</v>
      </c>
    </row>
    <row r="47" customFormat="false" ht="15" hidden="false" customHeight="false" outlineLevel="0" collapsed="false">
      <c r="A47" s="10" t="s">
        <v>28</v>
      </c>
      <c r="B47" s="28" t="s">
        <v>83</v>
      </c>
      <c r="C47" s="10" t="s">
        <v>116</v>
      </c>
      <c r="D47" s="9" t="n">
        <v>1033</v>
      </c>
      <c r="E47" s="9" t="n">
        <v>1</v>
      </c>
      <c r="F47" s="29" t="n">
        <f aca="false">IFERROR(E47/D47*1000,0)</f>
        <v>0.968054211035818</v>
      </c>
      <c r="G47" s="14" t="n">
        <v>0.4429</v>
      </c>
      <c r="H47" s="9" t="n">
        <v>7</v>
      </c>
      <c r="I47" s="23" t="n">
        <v>0.00524246395806029</v>
      </c>
    </row>
    <row r="48" customFormat="false" ht="29.85" hidden="false" customHeight="false" outlineLevel="0" collapsed="false">
      <c r="A48" s="10" t="s">
        <v>30</v>
      </c>
      <c r="B48" s="28" t="s">
        <v>75</v>
      </c>
      <c r="C48" s="12" t="s">
        <v>117</v>
      </c>
      <c r="D48" s="9" t="n">
        <v>1020</v>
      </c>
      <c r="E48" s="9" t="n">
        <v>1</v>
      </c>
      <c r="F48" s="29" t="n">
        <f aca="false">IFERROR(E48/D48*1000,0)</f>
        <v>0.980392156862745</v>
      </c>
      <c r="G48" s="14" t="n">
        <v>0.4279</v>
      </c>
      <c r="H48" s="9" t="n">
        <v>1</v>
      </c>
      <c r="I48" s="23" t="n">
        <v>0</v>
      </c>
    </row>
    <row r="49" customFormat="false" ht="29.85" hidden="false" customHeight="false" outlineLevel="0" collapsed="false">
      <c r="A49" s="10" t="s">
        <v>27</v>
      </c>
      <c r="B49" s="28" t="s">
        <v>53</v>
      </c>
      <c r="C49" s="10" t="s">
        <v>118</v>
      </c>
      <c r="D49" s="9" t="n">
        <v>1007</v>
      </c>
      <c r="E49" s="9" t="n">
        <v>1</v>
      </c>
      <c r="F49" s="29" t="n">
        <f aca="false">IFERROR(E49/D49*1000,0)</f>
        <v>0.99304865938431</v>
      </c>
      <c r="G49" s="14" t="n">
        <v>0.3536</v>
      </c>
      <c r="H49" s="9" t="n">
        <v>8</v>
      </c>
      <c r="I49" s="23" t="n">
        <v>0.0125</v>
      </c>
    </row>
    <row r="50" customFormat="false" ht="29.85" hidden="false" customHeight="false" outlineLevel="0" collapsed="false">
      <c r="A50" s="10" t="s">
        <v>28</v>
      </c>
      <c r="B50" s="28" t="s">
        <v>75</v>
      </c>
      <c r="C50" s="10" t="s">
        <v>119</v>
      </c>
      <c r="D50" s="9" t="n">
        <v>1003</v>
      </c>
      <c r="E50" s="9" t="n">
        <v>1</v>
      </c>
      <c r="F50" s="29" t="n">
        <f aca="false">IFERROR(E50/D50*1000,0)</f>
        <v>0.997008973080758</v>
      </c>
      <c r="G50" s="14" t="n">
        <v>0.317</v>
      </c>
      <c r="H50" s="9" t="n">
        <v>3</v>
      </c>
      <c r="I50" s="23" t="n">
        <v>0.015748031496063</v>
      </c>
    </row>
    <row r="51" customFormat="false" ht="15" hidden="false" customHeight="false" outlineLevel="0" collapsed="false">
      <c r="A51" s="10" t="s">
        <v>27</v>
      </c>
      <c r="B51" s="28" t="s">
        <v>75</v>
      </c>
      <c r="C51" s="12" t="s">
        <v>120</v>
      </c>
      <c r="D51" s="9" t="n">
        <v>1001</v>
      </c>
      <c r="E51" s="9" t="n">
        <v>1</v>
      </c>
      <c r="F51" s="29" t="n">
        <f aca="false">IFERROR(E51/D51*1000,0)</f>
        <v>0.999000999000999</v>
      </c>
      <c r="G51" s="14" t="n">
        <v>0.422</v>
      </c>
      <c r="H51" s="9" t="n">
        <v>13</v>
      </c>
      <c r="I51" s="23" t="n">
        <v>0</v>
      </c>
    </row>
    <row r="52" customFormat="false" ht="29.85" hidden="false" customHeight="false" outlineLevel="0" collapsed="false">
      <c r="A52" s="10" t="s">
        <v>28</v>
      </c>
      <c r="B52" s="28" t="s">
        <v>55</v>
      </c>
      <c r="C52" s="12" t="s">
        <v>121</v>
      </c>
      <c r="D52" s="9" t="n">
        <v>988</v>
      </c>
      <c r="E52" s="9" t="n">
        <v>1</v>
      </c>
      <c r="F52" s="29" t="n">
        <f aca="false">IFERROR(E52/D52*1000,0)</f>
        <v>1.01214574898785</v>
      </c>
      <c r="G52" s="14" t="n">
        <v>0.6777</v>
      </c>
      <c r="H52" s="9" t="n">
        <v>5</v>
      </c>
      <c r="I52" s="23" t="n">
        <v>0.0189328743545611</v>
      </c>
    </row>
    <row r="53" customFormat="false" ht="29.85" hidden="false" customHeight="false" outlineLevel="0" collapsed="false">
      <c r="A53" s="10" t="s">
        <v>32</v>
      </c>
      <c r="B53" s="28" t="s">
        <v>75</v>
      </c>
      <c r="C53" s="12" t="s">
        <v>122</v>
      </c>
      <c r="D53" s="9" t="n">
        <v>980</v>
      </c>
      <c r="E53" s="9" t="n">
        <v>1</v>
      </c>
      <c r="F53" s="29" t="n">
        <f aca="false">IFERROR(E53/D53*1000,0)</f>
        <v>1.02040816326531</v>
      </c>
      <c r="G53" s="14" t="n">
        <v>0.5966</v>
      </c>
      <c r="H53" s="9" t="n">
        <v>3</v>
      </c>
      <c r="I53" s="23" t="n">
        <v>0.00518134715025907</v>
      </c>
    </row>
    <row r="54" customFormat="false" ht="29.85" hidden="false" customHeight="false" outlineLevel="0" collapsed="false">
      <c r="A54" s="10" t="s">
        <v>30</v>
      </c>
      <c r="B54" s="28" t="s">
        <v>123</v>
      </c>
      <c r="C54" s="10" t="s">
        <v>124</v>
      </c>
      <c r="D54" s="9" t="n">
        <v>977</v>
      </c>
      <c r="E54" s="9" t="n">
        <v>1</v>
      </c>
      <c r="F54" s="29" t="n">
        <f aca="false">IFERROR(E54/D54*1000,0)</f>
        <v>1.02354145342886</v>
      </c>
      <c r="G54" s="14" t="n">
        <v>0.2252</v>
      </c>
      <c r="H54" s="9" t="n">
        <v>1</v>
      </c>
      <c r="I54" s="23" t="n">
        <v>0</v>
      </c>
    </row>
    <row r="55" customFormat="false" ht="15" hidden="false" customHeight="false" outlineLevel="0" collapsed="false">
      <c r="A55" s="10" t="s">
        <v>32</v>
      </c>
      <c r="B55" s="28" t="s">
        <v>97</v>
      </c>
      <c r="C55" s="12" t="s">
        <v>125</v>
      </c>
      <c r="D55" s="9" t="n">
        <v>955</v>
      </c>
      <c r="E55" s="9" t="n">
        <v>1</v>
      </c>
      <c r="F55" s="29" t="n">
        <f aca="false">IFERROR(E55/D55*1000,0)</f>
        <v>1.04712041884817</v>
      </c>
      <c r="G55" s="14" t="n">
        <v>0.3885</v>
      </c>
      <c r="H55" s="9" t="n">
        <v>9</v>
      </c>
      <c r="I55" s="23" t="n">
        <v>0.0210526315789474</v>
      </c>
    </row>
    <row r="56" customFormat="false" ht="15" hidden="false" customHeight="false" outlineLevel="0" collapsed="false">
      <c r="A56" s="10" t="s">
        <v>28</v>
      </c>
      <c r="B56" s="28" t="s">
        <v>55</v>
      </c>
      <c r="C56" s="12" t="s">
        <v>126</v>
      </c>
      <c r="D56" s="9" t="n">
        <v>954</v>
      </c>
      <c r="E56" s="9" t="n">
        <v>1</v>
      </c>
      <c r="F56" s="29" t="n">
        <f aca="false">IFERROR(E56/D56*1000,0)</f>
        <v>1.0482180293501</v>
      </c>
      <c r="G56" s="14" t="n">
        <v>0.2898</v>
      </c>
      <c r="H56" s="9" t="n">
        <v>4</v>
      </c>
      <c r="I56" s="23" t="n">
        <v>0.00914076782449726</v>
      </c>
    </row>
    <row r="57" customFormat="false" ht="29.85" hidden="false" customHeight="false" outlineLevel="0" collapsed="false">
      <c r="A57" s="10" t="s">
        <v>30</v>
      </c>
      <c r="B57" s="28" t="s">
        <v>55</v>
      </c>
      <c r="C57" s="10" t="s">
        <v>127</v>
      </c>
      <c r="D57" s="9" t="n">
        <v>953</v>
      </c>
      <c r="E57" s="9" t="n">
        <v>1</v>
      </c>
      <c r="F57" s="29" t="n">
        <f aca="false">IFERROR(E57/D57*1000,0)</f>
        <v>1.04931794333683</v>
      </c>
      <c r="G57" s="14" t="n">
        <v>0.3703</v>
      </c>
      <c r="H57" s="9" t="n">
        <v>2</v>
      </c>
      <c r="I57" s="23" t="n">
        <v>0.0233918128654971</v>
      </c>
    </row>
    <row r="58" customFormat="false" ht="29.85" hidden="false" customHeight="false" outlineLevel="0" collapsed="false">
      <c r="A58" s="10" t="s">
        <v>31</v>
      </c>
      <c r="B58" s="28" t="s">
        <v>128</v>
      </c>
      <c r="C58" s="12" t="s">
        <v>129</v>
      </c>
      <c r="D58" s="9" t="n">
        <v>943</v>
      </c>
      <c r="E58" s="9" t="n">
        <v>1</v>
      </c>
      <c r="F58" s="29" t="n">
        <f aca="false">IFERROR(E58/D58*1000,0)</f>
        <v>1.06044538706257</v>
      </c>
      <c r="G58" s="14" t="n">
        <v>0.4505</v>
      </c>
      <c r="H58" s="9" t="n">
        <v>7</v>
      </c>
      <c r="I58" s="23" t="n">
        <v>0</v>
      </c>
    </row>
    <row r="59" customFormat="false" ht="15" hidden="false" customHeight="false" outlineLevel="0" collapsed="false">
      <c r="A59" s="10" t="s">
        <v>30</v>
      </c>
      <c r="B59" s="28" t="s">
        <v>75</v>
      </c>
      <c r="C59" s="12" t="s">
        <v>130</v>
      </c>
      <c r="D59" s="9" t="n">
        <v>942</v>
      </c>
      <c r="E59" s="9" t="n">
        <v>1</v>
      </c>
      <c r="F59" s="29" t="n">
        <f aca="false">IFERROR(E59/D59*1000,0)</f>
        <v>1.06157112526539</v>
      </c>
      <c r="G59" s="14" t="n">
        <v>0.4338</v>
      </c>
      <c r="H59" s="9" t="n">
        <v>2</v>
      </c>
      <c r="I59" s="23" t="n">
        <v>0.0114942528735632</v>
      </c>
    </row>
    <row r="60" customFormat="false" ht="29.85" hidden="false" customHeight="false" outlineLevel="0" collapsed="false">
      <c r="A60" s="10" t="s">
        <v>32</v>
      </c>
      <c r="B60" s="28" t="s">
        <v>75</v>
      </c>
      <c r="C60" s="12" t="s">
        <v>131</v>
      </c>
      <c r="D60" s="9" t="n">
        <v>942</v>
      </c>
      <c r="E60" s="9" t="n">
        <v>1</v>
      </c>
      <c r="F60" s="29" t="n">
        <f aca="false">IFERROR(E60/D60*1000,0)</f>
        <v>1.06157112526539</v>
      </c>
      <c r="G60" s="14" t="n">
        <v>0.3748</v>
      </c>
      <c r="H60" s="9" t="n">
        <v>1</v>
      </c>
      <c r="I60" s="23" t="n">
        <v>0.0315789473684211</v>
      </c>
    </row>
    <row r="61" customFormat="false" ht="15" hidden="false" customHeight="false" outlineLevel="0" collapsed="false">
      <c r="A61" s="10" t="s">
        <v>28</v>
      </c>
      <c r="B61" s="28" t="s">
        <v>88</v>
      </c>
      <c r="C61" s="10" t="s">
        <v>132</v>
      </c>
      <c r="D61" s="9" t="n">
        <v>913</v>
      </c>
      <c r="E61" s="9" t="n">
        <v>1</v>
      </c>
      <c r="F61" s="29" t="n">
        <f aca="false">IFERROR(E61/D61*1000,0)</f>
        <v>1.09529025191676</v>
      </c>
      <c r="G61" s="14" t="n">
        <v>0.4937</v>
      </c>
      <c r="H61" s="9" t="n">
        <v>6</v>
      </c>
      <c r="I61" s="23" t="n">
        <v>0.0192513368983957</v>
      </c>
    </row>
    <row r="62" customFormat="false" ht="15" hidden="false" customHeight="false" outlineLevel="0" collapsed="false">
      <c r="A62" s="10" t="s">
        <v>28</v>
      </c>
      <c r="B62" s="28" t="s">
        <v>83</v>
      </c>
      <c r="C62" s="10" t="s">
        <v>133</v>
      </c>
      <c r="D62" s="9" t="n">
        <v>910</v>
      </c>
      <c r="E62" s="9" t="n">
        <v>1</v>
      </c>
      <c r="F62" s="29" t="n">
        <f aca="false">IFERROR(E62/D62*1000,0)</f>
        <v>1.0989010989011</v>
      </c>
      <c r="G62" s="14" t="n">
        <v>0.3701</v>
      </c>
      <c r="H62" s="9" t="n">
        <v>6</v>
      </c>
      <c r="I62" s="23" t="n">
        <v>0.00437636761487965</v>
      </c>
    </row>
    <row r="63" customFormat="false" ht="29.85" hidden="false" customHeight="false" outlineLevel="0" collapsed="false">
      <c r="A63" s="10" t="s">
        <v>27</v>
      </c>
      <c r="B63" s="28" t="s">
        <v>55</v>
      </c>
      <c r="C63" s="10" t="s">
        <v>134</v>
      </c>
      <c r="D63" s="9" t="n">
        <v>900</v>
      </c>
      <c r="E63" s="9" t="n">
        <v>1</v>
      </c>
      <c r="F63" s="29" t="n">
        <f aca="false">IFERROR(E63/D63*1000,0)</f>
        <v>1.11111111111111</v>
      </c>
      <c r="G63" s="14" t="n">
        <v>0.534</v>
      </c>
      <c r="H63" s="9" t="n">
        <v>6</v>
      </c>
      <c r="I63" s="23" t="n">
        <v>0.0153846153846154</v>
      </c>
    </row>
    <row r="64" customFormat="false" ht="29.85" hidden="false" customHeight="false" outlineLevel="0" collapsed="false">
      <c r="A64" s="10" t="s">
        <v>31</v>
      </c>
      <c r="B64" s="28" t="s">
        <v>55</v>
      </c>
      <c r="C64" s="10" t="s">
        <v>135</v>
      </c>
      <c r="D64" s="9" t="n">
        <v>896</v>
      </c>
      <c r="E64" s="9" t="n">
        <v>1</v>
      </c>
      <c r="F64" s="29" t="n">
        <f aca="false">IFERROR(E64/D64*1000,0)</f>
        <v>1.11607142857143</v>
      </c>
      <c r="G64" s="14" t="n">
        <v>0</v>
      </c>
      <c r="H64" s="9" t="n">
        <v>5</v>
      </c>
      <c r="I64" s="23" t="n">
        <v>0</v>
      </c>
    </row>
    <row r="65" customFormat="false" ht="15" hidden="false" customHeight="false" outlineLevel="0" collapsed="false">
      <c r="A65" s="10" t="s">
        <v>27</v>
      </c>
      <c r="B65" s="28" t="s">
        <v>83</v>
      </c>
      <c r="C65" s="12" t="s">
        <v>136</v>
      </c>
      <c r="D65" s="9" t="n">
        <v>890</v>
      </c>
      <c r="E65" s="9" t="n">
        <v>1</v>
      </c>
      <c r="F65" s="29" t="n">
        <f aca="false">IFERROR(E65/D65*1000,0)</f>
        <v>1.12359550561798</v>
      </c>
      <c r="G65" s="14" t="n">
        <v>0.4047</v>
      </c>
      <c r="H65" s="9" t="n">
        <v>10</v>
      </c>
      <c r="I65" s="23" t="n">
        <v>0</v>
      </c>
    </row>
    <row r="66" customFormat="false" ht="15" hidden="false" customHeight="false" outlineLevel="0" collapsed="false">
      <c r="A66" s="10" t="s">
        <v>28</v>
      </c>
      <c r="B66" s="28" t="s">
        <v>60</v>
      </c>
      <c r="C66" s="10" t="s">
        <v>137</v>
      </c>
      <c r="D66" s="9" t="n">
        <v>866</v>
      </c>
      <c r="E66" s="9" t="n">
        <v>1</v>
      </c>
      <c r="F66" s="29" t="n">
        <f aca="false">IFERROR(E66/D66*1000,0)</f>
        <v>1.15473441108545</v>
      </c>
      <c r="G66" s="14" t="n">
        <v>0.3529</v>
      </c>
      <c r="H66" s="9" t="n">
        <v>7</v>
      </c>
      <c r="I66" s="23" t="n">
        <v>0.0186046511627907</v>
      </c>
    </row>
    <row r="67" customFormat="false" ht="29.85" hidden="false" customHeight="false" outlineLevel="0" collapsed="false">
      <c r="A67" s="10" t="s">
        <v>27</v>
      </c>
      <c r="B67" s="28" t="s">
        <v>91</v>
      </c>
      <c r="C67" s="10" t="s">
        <v>138</v>
      </c>
      <c r="D67" s="9" t="n">
        <v>863</v>
      </c>
      <c r="E67" s="9" t="n">
        <v>1</v>
      </c>
      <c r="F67" s="29" t="n">
        <f aca="false">IFERROR(E67/D67*1000,0)</f>
        <v>1.15874855156431</v>
      </c>
      <c r="G67" s="14" t="n">
        <v>0.3169</v>
      </c>
      <c r="H67" s="9" t="n">
        <v>7</v>
      </c>
      <c r="I67" s="23" t="n">
        <v>0.03125</v>
      </c>
    </row>
    <row r="68" customFormat="false" ht="15" hidden="false" customHeight="false" outlineLevel="0" collapsed="false">
      <c r="A68" s="10" t="s">
        <v>30</v>
      </c>
      <c r="B68" s="28" t="s">
        <v>83</v>
      </c>
      <c r="C68" s="12" t="s">
        <v>139</v>
      </c>
      <c r="D68" s="9" t="n">
        <v>861</v>
      </c>
      <c r="E68" s="9" t="n">
        <v>1</v>
      </c>
      <c r="F68" s="29" t="n">
        <f aca="false">IFERROR(E68/D68*1000,0)</f>
        <v>1.16144018583043</v>
      </c>
      <c r="G68" s="14" t="n">
        <v>0.3403</v>
      </c>
      <c r="H68" s="9" t="n">
        <v>3</v>
      </c>
      <c r="I68" s="23" t="n">
        <v>0.00961538461538462</v>
      </c>
    </row>
    <row r="69" customFormat="false" ht="29.85" hidden="false" customHeight="false" outlineLevel="0" collapsed="false">
      <c r="A69" s="10" t="s">
        <v>27</v>
      </c>
      <c r="B69" s="28" t="s">
        <v>55</v>
      </c>
      <c r="C69" s="10" t="s">
        <v>140</v>
      </c>
      <c r="D69" s="9" t="n">
        <v>849</v>
      </c>
      <c r="E69" s="9" t="n">
        <v>1</v>
      </c>
      <c r="F69" s="29" t="n">
        <f aca="false">IFERROR(E69/D69*1000,0)</f>
        <v>1.17785630153121</v>
      </c>
      <c r="G69" s="14" t="n">
        <v>0.5957</v>
      </c>
      <c r="H69" s="9" t="n">
        <v>7</v>
      </c>
      <c r="I69" s="23" t="n">
        <v>0.00813008130081301</v>
      </c>
    </row>
    <row r="70" customFormat="false" ht="29.85" hidden="false" customHeight="false" outlineLevel="0" collapsed="false">
      <c r="A70" s="10" t="s">
        <v>29</v>
      </c>
      <c r="B70" s="28" t="s">
        <v>53</v>
      </c>
      <c r="C70" s="12" t="s">
        <v>141</v>
      </c>
      <c r="D70" s="9" t="n">
        <v>820</v>
      </c>
      <c r="E70" s="9" t="n">
        <v>1</v>
      </c>
      <c r="F70" s="29" t="n">
        <f aca="false">IFERROR(E70/D70*1000,0)</f>
        <v>1.21951219512195</v>
      </c>
      <c r="G70" s="14" t="n">
        <v>0.3193</v>
      </c>
      <c r="H70" s="9" t="n">
        <v>1</v>
      </c>
      <c r="I70" s="23" t="n">
        <v>0</v>
      </c>
    </row>
    <row r="71" customFormat="false" ht="29.85" hidden="false" customHeight="false" outlineLevel="0" collapsed="false">
      <c r="A71" s="10" t="s">
        <v>27</v>
      </c>
      <c r="B71" s="28" t="s">
        <v>123</v>
      </c>
      <c r="C71" s="10" t="s">
        <v>142</v>
      </c>
      <c r="D71" s="9" t="n">
        <v>816</v>
      </c>
      <c r="E71" s="9" t="n">
        <v>1</v>
      </c>
      <c r="F71" s="29" t="n">
        <f aca="false">IFERROR(E71/D71*1000,0)</f>
        <v>1.22549019607843</v>
      </c>
      <c r="G71" s="14" t="n">
        <v>0.3238</v>
      </c>
      <c r="H71" s="9" t="n">
        <v>6</v>
      </c>
      <c r="I71" s="23" t="n">
        <v>0.0125</v>
      </c>
    </row>
    <row r="72" customFormat="false" ht="29.85" hidden="false" customHeight="false" outlineLevel="0" collapsed="false">
      <c r="A72" s="10" t="s">
        <v>28</v>
      </c>
      <c r="B72" s="28" t="s">
        <v>71</v>
      </c>
      <c r="C72" s="10" t="s">
        <v>143</v>
      </c>
      <c r="D72" s="9" t="n">
        <v>781</v>
      </c>
      <c r="E72" s="9" t="n">
        <v>1</v>
      </c>
      <c r="F72" s="29" t="n">
        <f aca="false">IFERROR(E72/D72*1000,0)</f>
        <v>1.28040973111396</v>
      </c>
      <c r="G72" s="14" t="n">
        <v>0.4713</v>
      </c>
      <c r="H72" s="9" t="n">
        <v>2</v>
      </c>
      <c r="I72" s="23" t="n">
        <v>0.00756143667296786</v>
      </c>
    </row>
    <row r="73" customFormat="false" ht="15" hidden="false" customHeight="false" outlineLevel="0" collapsed="false">
      <c r="A73" s="10" t="s">
        <v>28</v>
      </c>
      <c r="B73" s="28" t="s">
        <v>106</v>
      </c>
      <c r="C73" s="12" t="s">
        <v>144</v>
      </c>
      <c r="D73" s="9" t="n">
        <v>644</v>
      </c>
      <c r="E73" s="9" t="n">
        <v>1</v>
      </c>
      <c r="F73" s="29" t="n">
        <f aca="false">IFERROR(E73/D73*1000,0)</f>
        <v>1.5527950310559</v>
      </c>
      <c r="G73" s="14" t="n">
        <v>0.501</v>
      </c>
      <c r="H73" s="9" t="n">
        <v>4</v>
      </c>
      <c r="I73" s="23" t="n">
        <v>0.0087719298245614</v>
      </c>
    </row>
    <row r="74" customFormat="false" ht="29.85" hidden="false" customHeight="false" outlineLevel="0" collapsed="false">
      <c r="A74" s="10" t="s">
        <v>31</v>
      </c>
      <c r="B74" s="28" t="s">
        <v>79</v>
      </c>
      <c r="C74" s="10" t="s">
        <v>145</v>
      </c>
      <c r="D74" s="9" t="n">
        <v>315</v>
      </c>
      <c r="E74" s="9" t="n">
        <v>1</v>
      </c>
      <c r="F74" s="29" t="n">
        <f aca="false">IFERROR(E74/D74*1000,0)</f>
        <v>3.17460317460317</v>
      </c>
      <c r="G74" s="14" t="n">
        <v>0.4958</v>
      </c>
      <c r="H74" s="9" t="n">
        <v>1</v>
      </c>
      <c r="I74" s="23" t="n">
        <v>0</v>
      </c>
    </row>
    <row r="75" customFormat="false" ht="15" hidden="false" customHeight="false" outlineLevel="0" collapsed="false">
      <c r="A75" s="10" t="s">
        <v>28</v>
      </c>
      <c r="B75" s="28" t="s">
        <v>146</v>
      </c>
      <c r="C75" s="12" t="s">
        <v>147</v>
      </c>
      <c r="D75" s="9" t="n">
        <v>178</v>
      </c>
      <c r="E75" s="9" t="n">
        <v>1</v>
      </c>
      <c r="F75" s="29" t="n">
        <f aca="false">IFERROR(E75/D75*1000,0)</f>
        <v>5.61797752808989</v>
      </c>
      <c r="G75" s="14" t="n">
        <v>0.2541</v>
      </c>
      <c r="H75" s="9" t="n">
        <v>0</v>
      </c>
      <c r="I75" s="23" t="n">
        <v>0.0181818181818182</v>
      </c>
    </row>
    <row r="76" customFormat="false" ht="29.85" hidden="false" customHeight="false" outlineLevel="0" collapsed="false">
      <c r="A76" s="10" t="s">
        <v>31</v>
      </c>
      <c r="B76" s="28" t="s">
        <v>104</v>
      </c>
      <c r="C76" s="12" t="s">
        <v>148</v>
      </c>
      <c r="D76" s="9" t="n">
        <v>2347</v>
      </c>
      <c r="E76" s="9" t="n">
        <v>0</v>
      </c>
      <c r="F76" s="29" t="n">
        <f aca="false">IFERROR(E76/D76*1000,0)</f>
        <v>0</v>
      </c>
      <c r="G76" s="14" t="n">
        <v>0.3428</v>
      </c>
      <c r="H76" s="9" t="n">
        <v>3</v>
      </c>
      <c r="I76" s="23" t="n">
        <v>0.012987012987013</v>
      </c>
    </row>
    <row r="77" customFormat="false" ht="29.85" hidden="false" customHeight="false" outlineLevel="0" collapsed="false">
      <c r="A77" s="10" t="s">
        <v>31</v>
      </c>
      <c r="B77" s="28" t="s">
        <v>97</v>
      </c>
      <c r="C77" s="12" t="s">
        <v>149</v>
      </c>
      <c r="D77" s="9" t="n">
        <v>2256</v>
      </c>
      <c r="E77" s="9" t="n">
        <v>0</v>
      </c>
      <c r="F77" s="29" t="n">
        <f aca="false">IFERROR(E77/D77*1000,0)</f>
        <v>0</v>
      </c>
      <c r="G77" s="14" t="n">
        <v>0.858</v>
      </c>
      <c r="H77" s="9" t="n">
        <v>11</v>
      </c>
      <c r="I77" s="23" t="n">
        <v>0.0134228187919463</v>
      </c>
    </row>
    <row r="78" customFormat="false" ht="29.85" hidden="false" customHeight="false" outlineLevel="0" collapsed="false">
      <c r="A78" s="10" t="s">
        <v>30</v>
      </c>
      <c r="B78" s="28" t="s">
        <v>104</v>
      </c>
      <c r="C78" s="12" t="s">
        <v>150</v>
      </c>
      <c r="D78" s="9" t="n">
        <v>1971</v>
      </c>
      <c r="E78" s="9" t="n">
        <v>0</v>
      </c>
      <c r="F78" s="29" t="n">
        <f aca="false">IFERROR(E78/D78*1000,0)</f>
        <v>0</v>
      </c>
      <c r="G78" s="14" t="n">
        <v>0.6943</v>
      </c>
      <c r="H78" s="9" t="n">
        <v>5</v>
      </c>
      <c r="I78" s="23" t="n">
        <v>0.0314465408805031</v>
      </c>
    </row>
    <row r="79" customFormat="false" ht="29.85" hidden="false" customHeight="false" outlineLevel="0" collapsed="false">
      <c r="A79" s="10" t="s">
        <v>31</v>
      </c>
      <c r="B79" s="28" t="s">
        <v>63</v>
      </c>
      <c r="C79" s="12" t="s">
        <v>151</v>
      </c>
      <c r="D79" s="9" t="n">
        <v>1953</v>
      </c>
      <c r="E79" s="9" t="n">
        <v>0</v>
      </c>
      <c r="F79" s="29" t="n">
        <f aca="false">IFERROR(E79/D79*1000,0)</f>
        <v>0</v>
      </c>
      <c r="G79" s="14" t="n">
        <v>0.7626</v>
      </c>
      <c r="H79" s="9" t="n">
        <v>2</v>
      </c>
      <c r="I79" s="23" t="n">
        <v>0.0161290322580645</v>
      </c>
    </row>
    <row r="80" customFormat="false" ht="15" hidden="false" customHeight="false" outlineLevel="0" collapsed="false">
      <c r="A80" s="10" t="s">
        <v>32</v>
      </c>
      <c r="B80" s="28" t="s">
        <v>123</v>
      </c>
      <c r="C80" s="12" t="s">
        <v>152</v>
      </c>
      <c r="D80" s="9" t="n">
        <v>1938</v>
      </c>
      <c r="E80" s="9" t="n">
        <v>0</v>
      </c>
      <c r="F80" s="29" t="n">
        <f aca="false">IFERROR(E80/D80*1000,0)</f>
        <v>0</v>
      </c>
      <c r="G80" s="14" t="n">
        <v>0.6843</v>
      </c>
      <c r="H80" s="9" t="n">
        <v>2</v>
      </c>
      <c r="I80" s="23" t="n">
        <v>0.00694444444444444</v>
      </c>
    </row>
    <row r="81" customFormat="false" ht="15" hidden="false" customHeight="false" outlineLevel="0" collapsed="false">
      <c r="A81" s="10" t="s">
        <v>31</v>
      </c>
      <c r="B81" s="28" t="s">
        <v>153</v>
      </c>
      <c r="C81" s="12" t="s">
        <v>154</v>
      </c>
      <c r="D81" s="9" t="n">
        <v>1917</v>
      </c>
      <c r="E81" s="9" t="n">
        <v>0</v>
      </c>
      <c r="F81" s="29" t="n">
        <f aca="false">IFERROR(E81/D81*1000,0)</f>
        <v>0</v>
      </c>
      <c r="G81" s="14" t="n">
        <v>0.5438</v>
      </c>
      <c r="H81" s="9" t="n">
        <v>8</v>
      </c>
      <c r="I81" s="23" t="n">
        <v>0.00757575757575758</v>
      </c>
    </row>
    <row r="82" customFormat="false" ht="15" hidden="false" customHeight="false" outlineLevel="0" collapsed="false">
      <c r="A82" s="10" t="s">
        <v>29</v>
      </c>
      <c r="B82" s="28" t="s">
        <v>106</v>
      </c>
      <c r="C82" s="10" t="s">
        <v>155</v>
      </c>
      <c r="D82" s="9" t="n">
        <v>1814</v>
      </c>
      <c r="E82" s="9" t="n">
        <v>0</v>
      </c>
      <c r="F82" s="29" t="n">
        <f aca="false">IFERROR(E82/D82*1000,0)</f>
        <v>0</v>
      </c>
      <c r="G82" s="14" t="n">
        <v>0.4194</v>
      </c>
      <c r="H82" s="9" t="n">
        <v>4</v>
      </c>
      <c r="I82" s="23" t="n">
        <v>0.342857142857143</v>
      </c>
    </row>
    <row r="83" customFormat="false" ht="29.85" hidden="false" customHeight="false" outlineLevel="0" collapsed="false">
      <c r="A83" s="10" t="s">
        <v>30</v>
      </c>
      <c r="B83" s="28" t="s">
        <v>71</v>
      </c>
      <c r="C83" s="12" t="s">
        <v>156</v>
      </c>
      <c r="D83" s="9" t="n">
        <v>1790</v>
      </c>
      <c r="E83" s="9" t="n">
        <v>0</v>
      </c>
      <c r="F83" s="29" t="n">
        <f aca="false">IFERROR(E83/D83*1000,0)</f>
        <v>0</v>
      </c>
      <c r="G83" s="14" t="n">
        <v>0.5507</v>
      </c>
      <c r="H83" s="9" t="n">
        <v>7</v>
      </c>
      <c r="I83" s="23" t="n">
        <v>0.0229885057471264</v>
      </c>
    </row>
    <row r="84" customFormat="false" ht="29.85" hidden="false" customHeight="false" outlineLevel="0" collapsed="false">
      <c r="A84" s="10" t="s">
        <v>31</v>
      </c>
      <c r="B84" s="28" t="s">
        <v>69</v>
      </c>
      <c r="C84" s="12" t="s">
        <v>157</v>
      </c>
      <c r="D84" s="9" t="n">
        <v>1705</v>
      </c>
      <c r="E84" s="9" t="n">
        <v>0</v>
      </c>
      <c r="F84" s="29" t="n">
        <f aca="false">IFERROR(E84/D84*1000,0)</f>
        <v>0</v>
      </c>
      <c r="G84" s="14" t="n">
        <v>0.4958</v>
      </c>
      <c r="H84" s="9" t="n">
        <v>7</v>
      </c>
      <c r="I84" s="23" t="n">
        <v>0.0099009900990099</v>
      </c>
    </row>
    <row r="85" customFormat="false" ht="29.85" hidden="false" customHeight="false" outlineLevel="0" collapsed="false">
      <c r="A85" s="10" t="s">
        <v>31</v>
      </c>
      <c r="B85" s="28" t="s">
        <v>71</v>
      </c>
      <c r="C85" s="12" t="s">
        <v>158</v>
      </c>
      <c r="D85" s="9" t="n">
        <v>1693</v>
      </c>
      <c r="E85" s="9" t="n">
        <v>0</v>
      </c>
      <c r="F85" s="29" t="n">
        <f aca="false">IFERROR(E85/D85*1000,0)</f>
        <v>0</v>
      </c>
      <c r="G85" s="14" t="n">
        <v>0.3869</v>
      </c>
      <c r="H85" s="9" t="n">
        <v>4</v>
      </c>
      <c r="I85" s="23" t="n">
        <v>0.0146341463414634</v>
      </c>
    </row>
    <row r="86" customFormat="false" ht="29.85" hidden="false" customHeight="false" outlineLevel="0" collapsed="false">
      <c r="A86" s="10" t="s">
        <v>30</v>
      </c>
      <c r="B86" s="28" t="s">
        <v>69</v>
      </c>
      <c r="C86" s="12" t="s">
        <v>159</v>
      </c>
      <c r="D86" s="9" t="n">
        <v>1679</v>
      </c>
      <c r="E86" s="9" t="n">
        <v>0</v>
      </c>
      <c r="F86" s="29" t="n">
        <f aca="false">IFERROR(E86/D86*1000,0)</f>
        <v>0</v>
      </c>
      <c r="G86" s="14" t="n">
        <v>0.5704</v>
      </c>
      <c r="H86" s="9" t="n">
        <v>0</v>
      </c>
      <c r="I86" s="23" t="n">
        <v>0.0192307692307692</v>
      </c>
    </row>
    <row r="87" customFormat="false" ht="15" hidden="false" customHeight="false" outlineLevel="0" collapsed="false">
      <c r="A87" s="10" t="s">
        <v>29</v>
      </c>
      <c r="B87" s="28" t="s">
        <v>65</v>
      </c>
      <c r="C87" s="12" t="s">
        <v>160</v>
      </c>
      <c r="D87" s="9" t="n">
        <v>1656</v>
      </c>
      <c r="E87" s="9" t="n">
        <v>0</v>
      </c>
      <c r="F87" s="29" t="n">
        <f aca="false">IFERROR(E87/D87*1000,0)</f>
        <v>0</v>
      </c>
      <c r="G87" s="14" t="n">
        <v>0.6419</v>
      </c>
      <c r="H87" s="9" t="n">
        <v>4</v>
      </c>
      <c r="I87" s="23" t="n">
        <v>0.0857142857142857</v>
      </c>
    </row>
    <row r="88" customFormat="false" ht="29.85" hidden="false" customHeight="false" outlineLevel="0" collapsed="false">
      <c r="A88" s="10" t="s">
        <v>30</v>
      </c>
      <c r="B88" s="28" t="s">
        <v>88</v>
      </c>
      <c r="C88" s="12" t="s">
        <v>161</v>
      </c>
      <c r="D88" s="9" t="n">
        <v>1637</v>
      </c>
      <c r="E88" s="9" t="n">
        <v>0</v>
      </c>
      <c r="F88" s="29" t="n">
        <f aca="false">IFERROR(E88/D88*1000,0)</f>
        <v>0</v>
      </c>
      <c r="G88" s="14" t="n">
        <v>0.7093</v>
      </c>
      <c r="H88" s="9" t="n">
        <v>5</v>
      </c>
      <c r="I88" s="23" t="n">
        <v>0.00813008130081301</v>
      </c>
    </row>
    <row r="89" customFormat="false" ht="15" hidden="false" customHeight="false" outlineLevel="0" collapsed="false">
      <c r="A89" s="10" t="s">
        <v>30</v>
      </c>
      <c r="B89" s="28" t="s">
        <v>65</v>
      </c>
      <c r="C89" s="12" t="s">
        <v>162</v>
      </c>
      <c r="D89" s="9" t="n">
        <v>1557</v>
      </c>
      <c r="E89" s="9" t="n">
        <v>0</v>
      </c>
      <c r="F89" s="29" t="n">
        <f aca="false">IFERROR(E89/D89*1000,0)</f>
        <v>0</v>
      </c>
      <c r="G89" s="14" t="n">
        <v>0.6526</v>
      </c>
      <c r="H89" s="9" t="n">
        <v>2</v>
      </c>
      <c r="I89" s="23" t="n">
        <v>0.0105263157894737</v>
      </c>
    </row>
    <row r="90" customFormat="false" ht="15" hidden="false" customHeight="false" outlineLevel="0" collapsed="false">
      <c r="A90" s="10" t="s">
        <v>29</v>
      </c>
      <c r="B90" s="28" t="s">
        <v>97</v>
      </c>
      <c r="C90" s="12" t="s">
        <v>163</v>
      </c>
      <c r="D90" s="9" t="n">
        <v>1439</v>
      </c>
      <c r="E90" s="9" t="n">
        <v>0</v>
      </c>
      <c r="F90" s="29" t="n">
        <f aca="false">IFERROR(E90/D90*1000,0)</f>
        <v>0</v>
      </c>
      <c r="G90" s="14" t="n">
        <v>0.6644</v>
      </c>
      <c r="H90" s="9" t="n">
        <v>3</v>
      </c>
      <c r="I90" s="23" t="n">
        <v>0.0172413793103448</v>
      </c>
    </row>
    <row r="91" customFormat="false" ht="15" hidden="false" customHeight="false" outlineLevel="0" collapsed="false">
      <c r="A91" s="10" t="s">
        <v>32</v>
      </c>
      <c r="B91" s="28" t="s">
        <v>146</v>
      </c>
      <c r="C91" s="10" t="s">
        <v>164</v>
      </c>
      <c r="D91" s="9" t="n">
        <v>1393</v>
      </c>
      <c r="E91" s="9" t="n">
        <v>0</v>
      </c>
      <c r="F91" s="29" t="n">
        <f aca="false">IFERROR(E91/D91*1000,0)</f>
        <v>0</v>
      </c>
      <c r="G91" s="14" t="n">
        <v>0.4789</v>
      </c>
      <c r="H91" s="9" t="n">
        <v>9</v>
      </c>
      <c r="I91" s="23" t="n">
        <v>0.0189243027888446</v>
      </c>
    </row>
    <row r="92" customFormat="false" ht="29.85" hidden="false" customHeight="false" outlineLevel="0" collapsed="false">
      <c r="A92" s="10" t="s">
        <v>29</v>
      </c>
      <c r="B92" s="28" t="s">
        <v>104</v>
      </c>
      <c r="C92" s="12" t="s">
        <v>165</v>
      </c>
      <c r="D92" s="9" t="n">
        <v>1354</v>
      </c>
      <c r="E92" s="9" t="n">
        <v>0</v>
      </c>
      <c r="F92" s="29" t="n">
        <f aca="false">IFERROR(E92/D92*1000,0)</f>
        <v>0</v>
      </c>
      <c r="G92" s="14" t="n">
        <v>0.5722</v>
      </c>
      <c r="H92" s="9" t="n">
        <v>4</v>
      </c>
      <c r="I92" s="23" t="n">
        <v>0</v>
      </c>
    </row>
    <row r="93" customFormat="false" ht="15" hidden="false" customHeight="false" outlineLevel="0" collapsed="false">
      <c r="A93" s="10" t="s">
        <v>29</v>
      </c>
      <c r="B93" s="28" t="s">
        <v>166</v>
      </c>
      <c r="C93" s="12" t="s">
        <v>167</v>
      </c>
      <c r="D93" s="9" t="n">
        <v>1350</v>
      </c>
      <c r="E93" s="9" t="n">
        <v>0</v>
      </c>
      <c r="F93" s="29" t="n">
        <f aca="false">IFERROR(E93/D93*1000,0)</f>
        <v>0</v>
      </c>
      <c r="G93" s="14" t="n">
        <v>0.7217</v>
      </c>
      <c r="H93" s="9" t="n">
        <v>1</v>
      </c>
      <c r="I93" s="23" t="n">
        <v>0</v>
      </c>
    </row>
    <row r="94" customFormat="false" ht="29.85" hidden="false" customHeight="false" outlineLevel="0" collapsed="false">
      <c r="A94" s="10" t="s">
        <v>32</v>
      </c>
      <c r="B94" s="28" t="s">
        <v>102</v>
      </c>
      <c r="C94" s="10" t="s">
        <v>168</v>
      </c>
      <c r="D94" s="9" t="n">
        <v>1349</v>
      </c>
      <c r="E94" s="9" t="n">
        <v>0</v>
      </c>
      <c r="F94" s="29" t="n">
        <f aca="false">IFERROR(E94/D94*1000,0)</f>
        <v>0</v>
      </c>
      <c r="G94" s="14" t="n">
        <v>0.9732</v>
      </c>
      <c r="H94" s="9" t="n">
        <v>5</v>
      </c>
      <c r="I94" s="23" t="n">
        <v>0</v>
      </c>
    </row>
    <row r="95" customFormat="false" ht="29.85" hidden="false" customHeight="false" outlineLevel="0" collapsed="false">
      <c r="A95" s="10" t="s">
        <v>30</v>
      </c>
      <c r="B95" s="28" t="s">
        <v>106</v>
      </c>
      <c r="C95" s="12" t="s">
        <v>169</v>
      </c>
      <c r="D95" s="9" t="n">
        <v>1308</v>
      </c>
      <c r="E95" s="9" t="n">
        <v>0</v>
      </c>
      <c r="F95" s="29" t="n">
        <f aca="false">IFERROR(E95/D95*1000,0)</f>
        <v>0</v>
      </c>
      <c r="G95" s="14" t="n">
        <v>0.3913</v>
      </c>
      <c r="H95" s="9" t="n">
        <v>1</v>
      </c>
      <c r="I95" s="23" t="n">
        <v>0</v>
      </c>
    </row>
    <row r="96" customFormat="false" ht="29.85" hidden="false" customHeight="false" outlineLevel="0" collapsed="false">
      <c r="A96" s="10" t="s">
        <v>30</v>
      </c>
      <c r="B96" s="28" t="s">
        <v>153</v>
      </c>
      <c r="C96" s="12" t="s">
        <v>170</v>
      </c>
      <c r="D96" s="9" t="n">
        <v>1289</v>
      </c>
      <c r="E96" s="9" t="n">
        <v>0</v>
      </c>
      <c r="F96" s="29" t="n">
        <f aca="false">IFERROR(E96/D96*1000,0)</f>
        <v>0</v>
      </c>
      <c r="G96" s="14" t="n">
        <v>0.5321</v>
      </c>
      <c r="H96" s="9" t="n">
        <v>4</v>
      </c>
      <c r="I96" s="23" t="n">
        <v>0.0078125</v>
      </c>
    </row>
    <row r="97" customFormat="false" ht="29.85" hidden="false" customHeight="false" outlineLevel="0" collapsed="false">
      <c r="A97" s="10" t="s">
        <v>32</v>
      </c>
      <c r="B97" s="28" t="s">
        <v>73</v>
      </c>
      <c r="C97" s="12" t="s">
        <v>171</v>
      </c>
      <c r="D97" s="9" t="n">
        <v>1273</v>
      </c>
      <c r="E97" s="9" t="n">
        <v>0</v>
      </c>
      <c r="F97" s="29" t="n">
        <f aca="false">IFERROR(E97/D97*1000,0)</f>
        <v>0</v>
      </c>
      <c r="G97" s="14" t="n">
        <v>0.7856</v>
      </c>
      <c r="H97" s="9" t="n">
        <v>6</v>
      </c>
      <c r="I97" s="23" t="n">
        <v>0.027027027027027</v>
      </c>
    </row>
    <row r="98" customFormat="false" ht="15" hidden="false" customHeight="false" outlineLevel="0" collapsed="false">
      <c r="A98" s="10" t="s">
        <v>29</v>
      </c>
      <c r="B98" s="28" t="s">
        <v>104</v>
      </c>
      <c r="C98" s="12" t="s">
        <v>172</v>
      </c>
      <c r="D98" s="9" t="n">
        <v>1236</v>
      </c>
      <c r="E98" s="9" t="n">
        <v>0</v>
      </c>
      <c r="F98" s="29" t="n">
        <f aca="false">IFERROR(E98/D98*1000,0)</f>
        <v>0</v>
      </c>
      <c r="G98" s="14" t="n">
        <v>0.8136</v>
      </c>
      <c r="H98" s="9" t="n">
        <v>6</v>
      </c>
      <c r="I98" s="23" t="n">
        <v>0</v>
      </c>
    </row>
    <row r="99" customFormat="false" ht="15" hidden="false" customHeight="false" outlineLevel="0" collapsed="false">
      <c r="A99" s="10" t="s">
        <v>29</v>
      </c>
      <c r="B99" s="28" t="s">
        <v>65</v>
      </c>
      <c r="C99" s="12" t="s">
        <v>173</v>
      </c>
      <c r="D99" s="9" t="n">
        <v>1190</v>
      </c>
      <c r="E99" s="9" t="n">
        <v>0</v>
      </c>
      <c r="F99" s="29" t="n">
        <f aca="false">IFERROR(E99/D99*1000,0)</f>
        <v>0</v>
      </c>
      <c r="G99" s="14" t="n">
        <v>0.5127</v>
      </c>
      <c r="H99" s="9" t="n">
        <v>0</v>
      </c>
      <c r="I99" s="23" t="n">
        <v>0</v>
      </c>
    </row>
    <row r="100" customFormat="false" ht="15" hidden="false" customHeight="false" outlineLevel="0" collapsed="false">
      <c r="A100" s="10" t="s">
        <v>29</v>
      </c>
      <c r="B100" s="28" t="s">
        <v>104</v>
      </c>
      <c r="C100" s="12" t="s">
        <v>174</v>
      </c>
      <c r="D100" s="9" t="n">
        <v>1162</v>
      </c>
      <c r="E100" s="9" t="n">
        <v>0</v>
      </c>
      <c r="F100" s="29" t="n">
        <f aca="false">IFERROR(E100/D100*1000,0)</f>
        <v>0</v>
      </c>
      <c r="G100" s="14" t="n">
        <v>1.096</v>
      </c>
      <c r="H100" s="9" t="n">
        <v>3</v>
      </c>
      <c r="I100" s="23" t="n">
        <v>0</v>
      </c>
    </row>
    <row r="101" customFormat="false" ht="29.85" hidden="false" customHeight="false" outlineLevel="0" collapsed="false">
      <c r="A101" s="10" t="s">
        <v>29</v>
      </c>
      <c r="B101" s="28" t="s">
        <v>123</v>
      </c>
      <c r="C101" s="12" t="s">
        <v>175</v>
      </c>
      <c r="D101" s="9" t="n">
        <v>1154</v>
      </c>
      <c r="E101" s="9" t="n">
        <v>0</v>
      </c>
      <c r="F101" s="29" t="n">
        <f aca="false">IFERROR(E101/D101*1000,0)</f>
        <v>0</v>
      </c>
      <c r="G101" s="14" t="n">
        <v>0.2663</v>
      </c>
      <c r="H101" s="9" t="n">
        <v>7</v>
      </c>
      <c r="I101" s="23" t="n">
        <v>0</v>
      </c>
    </row>
    <row r="102" customFormat="false" ht="15" hidden="false" customHeight="false" outlineLevel="0" collapsed="false">
      <c r="A102" s="10" t="s">
        <v>29</v>
      </c>
      <c r="B102" s="28" t="s">
        <v>88</v>
      </c>
      <c r="C102" s="12" t="s">
        <v>176</v>
      </c>
      <c r="D102" s="9" t="n">
        <v>1144</v>
      </c>
      <c r="E102" s="9" t="n">
        <v>0</v>
      </c>
      <c r="F102" s="29" t="n">
        <f aca="false">IFERROR(E102/D102*1000,0)</f>
        <v>0</v>
      </c>
      <c r="G102" s="14" t="n">
        <v>0.514</v>
      </c>
      <c r="H102" s="9" t="n">
        <v>2</v>
      </c>
      <c r="I102" s="23" t="n">
        <v>0</v>
      </c>
    </row>
    <row r="103" customFormat="false" ht="29.85" hidden="false" customHeight="false" outlineLevel="0" collapsed="false">
      <c r="A103" s="10" t="s">
        <v>28</v>
      </c>
      <c r="B103" s="28" t="s">
        <v>65</v>
      </c>
      <c r="C103" s="10" t="s">
        <v>177</v>
      </c>
      <c r="D103" s="9" t="n">
        <v>1136</v>
      </c>
      <c r="E103" s="9" t="n">
        <v>0</v>
      </c>
      <c r="F103" s="29" t="n">
        <f aca="false">IFERROR(E103/D103*1000,0)</f>
        <v>0</v>
      </c>
      <c r="G103" s="14" t="n">
        <v>0.5317</v>
      </c>
      <c r="H103" s="9" t="n">
        <v>3</v>
      </c>
      <c r="I103" s="23" t="n">
        <v>0.00747663551401869</v>
      </c>
    </row>
    <row r="104" customFormat="false" ht="15" hidden="false" customHeight="false" outlineLevel="0" collapsed="false">
      <c r="A104" s="10" t="s">
        <v>27</v>
      </c>
      <c r="B104" s="28" t="s">
        <v>75</v>
      </c>
      <c r="C104" s="12" t="s">
        <v>178</v>
      </c>
      <c r="D104" s="9" t="n">
        <v>1132</v>
      </c>
      <c r="E104" s="9" t="n">
        <v>0</v>
      </c>
      <c r="F104" s="29" t="n">
        <f aca="false">IFERROR(E104/D104*1000,0)</f>
        <v>0</v>
      </c>
      <c r="G104" s="14" t="n">
        <v>1.2072</v>
      </c>
      <c r="H104" s="9" t="n">
        <v>5</v>
      </c>
      <c r="I104" s="23" t="n">
        <v>0</v>
      </c>
    </row>
    <row r="105" customFormat="false" ht="29.85" hidden="false" customHeight="false" outlineLevel="0" collapsed="false">
      <c r="A105" s="10" t="s">
        <v>27</v>
      </c>
      <c r="B105" s="28" t="s">
        <v>86</v>
      </c>
      <c r="C105" s="10" t="s">
        <v>179</v>
      </c>
      <c r="D105" s="9" t="n">
        <v>1115</v>
      </c>
      <c r="E105" s="9" t="n">
        <v>0</v>
      </c>
      <c r="F105" s="29" t="n">
        <f aca="false">IFERROR(E105/D105*1000,0)</f>
        <v>0</v>
      </c>
      <c r="G105" s="14" t="n">
        <v>0.3247</v>
      </c>
      <c r="H105" s="9" t="n">
        <v>2</v>
      </c>
      <c r="I105" s="23" t="n">
        <v>0</v>
      </c>
    </row>
    <row r="106" customFormat="false" ht="15" hidden="false" customHeight="false" outlineLevel="0" collapsed="false">
      <c r="A106" s="10" t="s">
        <v>32</v>
      </c>
      <c r="B106" s="28" t="s">
        <v>79</v>
      </c>
      <c r="C106" s="12" t="s">
        <v>180</v>
      </c>
      <c r="D106" s="9" t="n">
        <v>1105</v>
      </c>
      <c r="E106" s="9" t="n">
        <v>0</v>
      </c>
      <c r="F106" s="29" t="n">
        <f aca="false">IFERROR(E106/D106*1000,0)</f>
        <v>0</v>
      </c>
      <c r="G106" s="14" t="n">
        <v>0.5037</v>
      </c>
      <c r="H106" s="9" t="n">
        <v>3</v>
      </c>
      <c r="I106" s="23" t="n">
        <v>0.0128205128205128</v>
      </c>
    </row>
    <row r="107" customFormat="false" ht="29.85" hidden="false" customHeight="false" outlineLevel="0" collapsed="false">
      <c r="A107" s="10" t="s">
        <v>27</v>
      </c>
      <c r="B107" s="28" t="s">
        <v>63</v>
      </c>
      <c r="C107" s="12" t="s">
        <v>181</v>
      </c>
      <c r="D107" s="9" t="n">
        <v>1105</v>
      </c>
      <c r="E107" s="9" t="n">
        <v>0</v>
      </c>
      <c r="F107" s="29" t="n">
        <f aca="false">IFERROR(E107/D107*1000,0)</f>
        <v>0</v>
      </c>
      <c r="G107" s="14" t="n">
        <v>0.3538</v>
      </c>
      <c r="H107" s="9" t="n">
        <v>3</v>
      </c>
      <c r="I107" s="23" t="n">
        <v>0.0192307692307692</v>
      </c>
    </row>
    <row r="108" customFormat="false" ht="15" hidden="false" customHeight="false" outlineLevel="0" collapsed="false">
      <c r="A108" s="10" t="s">
        <v>29</v>
      </c>
      <c r="B108" s="28" t="s">
        <v>100</v>
      </c>
      <c r="C108" s="12" t="s">
        <v>182</v>
      </c>
      <c r="D108" s="9" t="n">
        <v>1090</v>
      </c>
      <c r="E108" s="9" t="n">
        <v>0</v>
      </c>
      <c r="F108" s="29" t="n">
        <f aca="false">IFERROR(E108/D108*1000,0)</f>
        <v>0</v>
      </c>
      <c r="G108" s="14" t="n">
        <v>0.231</v>
      </c>
      <c r="H108" s="9" t="n">
        <v>0</v>
      </c>
      <c r="I108" s="23" t="n">
        <v>0</v>
      </c>
    </row>
    <row r="109" customFormat="false" ht="15" hidden="false" customHeight="false" outlineLevel="0" collapsed="false">
      <c r="A109" s="10" t="s">
        <v>29</v>
      </c>
      <c r="B109" s="28" t="s">
        <v>146</v>
      </c>
      <c r="C109" s="12" t="s">
        <v>183</v>
      </c>
      <c r="D109" s="9" t="n">
        <v>1088</v>
      </c>
      <c r="E109" s="9" t="n">
        <v>0</v>
      </c>
      <c r="F109" s="29" t="n">
        <f aca="false">IFERROR(E109/D109*1000,0)</f>
        <v>0</v>
      </c>
      <c r="G109" s="14" t="n">
        <v>0.2712</v>
      </c>
      <c r="H109" s="9" t="n">
        <v>1</v>
      </c>
      <c r="I109" s="23" t="n">
        <v>0.00390625</v>
      </c>
    </row>
    <row r="110" customFormat="false" ht="15" hidden="false" customHeight="false" outlineLevel="0" collapsed="false">
      <c r="A110" s="10" t="s">
        <v>29</v>
      </c>
      <c r="B110" s="28" t="s">
        <v>97</v>
      </c>
      <c r="C110" s="12" t="s">
        <v>184</v>
      </c>
      <c r="D110" s="9" t="n">
        <v>1086</v>
      </c>
      <c r="E110" s="9" t="n">
        <v>0</v>
      </c>
      <c r="F110" s="29" t="n">
        <f aca="false">IFERROR(E110/D110*1000,0)</f>
        <v>0</v>
      </c>
      <c r="G110" s="14" t="n">
        <v>1.2551</v>
      </c>
      <c r="H110" s="9" t="n">
        <v>1</v>
      </c>
      <c r="I110" s="23" t="n">
        <v>0.0277777777777778</v>
      </c>
    </row>
    <row r="111" customFormat="false" ht="29.85" hidden="false" customHeight="false" outlineLevel="0" collapsed="false">
      <c r="A111" s="10" t="s">
        <v>30</v>
      </c>
      <c r="B111" s="28" t="s">
        <v>53</v>
      </c>
      <c r="C111" s="10" t="s">
        <v>185</v>
      </c>
      <c r="D111" s="9" t="n">
        <v>1075</v>
      </c>
      <c r="E111" s="9" t="n">
        <v>0</v>
      </c>
      <c r="F111" s="29" t="n">
        <f aca="false">IFERROR(E111/D111*1000,0)</f>
        <v>0</v>
      </c>
      <c r="G111" s="14" t="n">
        <v>0.2754</v>
      </c>
      <c r="H111" s="9" t="n">
        <v>1</v>
      </c>
      <c r="I111" s="23" t="n">
        <v>0</v>
      </c>
    </row>
    <row r="112" customFormat="false" ht="29.85" hidden="false" customHeight="false" outlineLevel="0" collapsed="false">
      <c r="A112" s="10" t="s">
        <v>28</v>
      </c>
      <c r="B112" s="28" t="s">
        <v>97</v>
      </c>
      <c r="C112" s="10" t="s">
        <v>186</v>
      </c>
      <c r="D112" s="9" t="n">
        <v>1075</v>
      </c>
      <c r="E112" s="9" t="n">
        <v>0</v>
      </c>
      <c r="F112" s="29" t="n">
        <f aca="false">IFERROR(E112/D112*1000,0)</f>
        <v>0</v>
      </c>
      <c r="G112" s="14" t="n">
        <v>0.8652</v>
      </c>
      <c r="H112" s="9" t="n">
        <v>0</v>
      </c>
      <c r="I112" s="23" t="n">
        <v>0.0153846153846154</v>
      </c>
    </row>
    <row r="113" customFormat="false" ht="29.85" hidden="false" customHeight="false" outlineLevel="0" collapsed="false">
      <c r="A113" s="10" t="s">
        <v>27</v>
      </c>
      <c r="B113" s="28" t="s">
        <v>102</v>
      </c>
      <c r="C113" s="10" t="s">
        <v>187</v>
      </c>
      <c r="D113" s="9" t="n">
        <v>1074</v>
      </c>
      <c r="E113" s="9" t="n">
        <v>0</v>
      </c>
      <c r="F113" s="29" t="n">
        <f aca="false">IFERROR(E113/D113*1000,0)</f>
        <v>0</v>
      </c>
      <c r="G113" s="14" t="n">
        <v>0.9891</v>
      </c>
      <c r="H113" s="9" t="n">
        <v>5</v>
      </c>
      <c r="I113" s="23" t="n">
        <v>0.0126582278481013</v>
      </c>
    </row>
    <row r="114" customFormat="false" ht="15" hidden="false" customHeight="false" outlineLevel="0" collapsed="false">
      <c r="A114" s="10" t="s">
        <v>29</v>
      </c>
      <c r="B114" s="28" t="s">
        <v>60</v>
      </c>
      <c r="C114" s="12" t="s">
        <v>188</v>
      </c>
      <c r="D114" s="9" t="n">
        <v>1058</v>
      </c>
      <c r="E114" s="9" t="n">
        <v>0</v>
      </c>
      <c r="F114" s="29" t="n">
        <f aca="false">IFERROR(E114/D114*1000,0)</f>
        <v>0</v>
      </c>
      <c r="G114" s="14" t="n">
        <v>0.3298</v>
      </c>
      <c r="H114" s="9" t="n">
        <v>3</v>
      </c>
      <c r="I114" s="23" t="n">
        <v>0.027027027027027</v>
      </c>
    </row>
    <row r="115" customFormat="false" ht="29.85" hidden="false" customHeight="false" outlineLevel="0" collapsed="false">
      <c r="A115" s="10" t="s">
        <v>31</v>
      </c>
      <c r="B115" s="28" t="s">
        <v>86</v>
      </c>
      <c r="C115" s="10" t="s">
        <v>189</v>
      </c>
      <c r="D115" s="9" t="n">
        <v>1047</v>
      </c>
      <c r="E115" s="9" t="n">
        <v>0</v>
      </c>
      <c r="F115" s="29" t="n">
        <f aca="false">IFERROR(E115/D115*1000,0)</f>
        <v>0</v>
      </c>
      <c r="G115" s="14" t="n">
        <v>0.3261</v>
      </c>
      <c r="H115" s="9" t="n">
        <v>4</v>
      </c>
      <c r="I115" s="23" t="n">
        <v>0.00616016427104723</v>
      </c>
    </row>
    <row r="116" customFormat="false" ht="29.85" hidden="false" customHeight="false" outlineLevel="0" collapsed="false">
      <c r="A116" s="10" t="s">
        <v>30</v>
      </c>
      <c r="B116" s="28" t="s">
        <v>102</v>
      </c>
      <c r="C116" s="10" t="s">
        <v>190</v>
      </c>
      <c r="D116" s="9" t="n">
        <v>1046</v>
      </c>
      <c r="E116" s="9" t="n">
        <v>0</v>
      </c>
      <c r="F116" s="29" t="n">
        <f aca="false">IFERROR(E116/D116*1000,0)</f>
        <v>0</v>
      </c>
      <c r="G116" s="14" t="n">
        <v>0.3773</v>
      </c>
      <c r="H116" s="9" t="n">
        <v>3</v>
      </c>
      <c r="I116" s="23" t="n">
        <v>0.0175438596491228</v>
      </c>
    </row>
    <row r="117" customFormat="false" ht="29.85" hidden="false" customHeight="false" outlineLevel="0" collapsed="false">
      <c r="A117" s="10" t="s">
        <v>32</v>
      </c>
      <c r="B117" s="28" t="s">
        <v>57</v>
      </c>
      <c r="C117" s="12" t="s">
        <v>191</v>
      </c>
      <c r="D117" s="9" t="n">
        <v>1045</v>
      </c>
      <c r="E117" s="9" t="n">
        <v>0</v>
      </c>
      <c r="F117" s="29" t="n">
        <f aca="false">IFERROR(E117/D117*1000,0)</f>
        <v>0</v>
      </c>
      <c r="G117" s="14" t="n">
        <v>0.6589</v>
      </c>
      <c r="H117" s="9" t="n">
        <v>0</v>
      </c>
      <c r="I117" s="23" t="n">
        <v>0.0396039603960396</v>
      </c>
    </row>
    <row r="118" customFormat="false" ht="29.85" hidden="false" customHeight="false" outlineLevel="0" collapsed="false">
      <c r="A118" s="10" t="s">
        <v>27</v>
      </c>
      <c r="B118" s="28" t="s">
        <v>146</v>
      </c>
      <c r="C118" s="10" t="s">
        <v>192</v>
      </c>
      <c r="D118" s="9" t="n">
        <v>1042</v>
      </c>
      <c r="E118" s="9" t="n">
        <v>0</v>
      </c>
      <c r="F118" s="29" t="n">
        <f aca="false">IFERROR(E118/D118*1000,0)</f>
        <v>0</v>
      </c>
      <c r="G118" s="14" t="n">
        <v>0.2557</v>
      </c>
      <c r="H118" s="9" t="n">
        <v>6</v>
      </c>
      <c r="I118" s="23" t="n">
        <v>0</v>
      </c>
    </row>
    <row r="119" customFormat="false" ht="29.85" hidden="false" customHeight="false" outlineLevel="0" collapsed="false">
      <c r="A119" s="10" t="s">
        <v>32</v>
      </c>
      <c r="B119" s="28" t="s">
        <v>128</v>
      </c>
      <c r="C119" s="12" t="s">
        <v>193</v>
      </c>
      <c r="D119" s="9" t="n">
        <v>1039</v>
      </c>
      <c r="E119" s="9" t="n">
        <v>0</v>
      </c>
      <c r="F119" s="29" t="n">
        <f aca="false">IFERROR(E119/D119*1000,0)</f>
        <v>0</v>
      </c>
      <c r="G119" s="14" t="n">
        <v>0.6379</v>
      </c>
      <c r="H119" s="9" t="n">
        <v>2</v>
      </c>
      <c r="I119" s="23" t="n">
        <v>0.025</v>
      </c>
    </row>
    <row r="120" customFormat="false" ht="29.85" hidden="false" customHeight="false" outlineLevel="0" collapsed="false">
      <c r="A120" s="10" t="s">
        <v>27</v>
      </c>
      <c r="B120" s="28" t="s">
        <v>106</v>
      </c>
      <c r="C120" s="12" t="s">
        <v>194</v>
      </c>
      <c r="D120" s="9" t="n">
        <v>1039</v>
      </c>
      <c r="E120" s="9" t="n">
        <v>0</v>
      </c>
      <c r="F120" s="29" t="n">
        <f aca="false">IFERROR(E120/D120*1000,0)</f>
        <v>0</v>
      </c>
      <c r="G120" s="14" t="n">
        <v>0.2984</v>
      </c>
      <c r="H120" s="9" t="n">
        <v>3</v>
      </c>
      <c r="I120" s="23" t="n">
        <v>0</v>
      </c>
    </row>
    <row r="121" customFormat="false" ht="44" hidden="false" customHeight="false" outlineLevel="0" collapsed="false">
      <c r="A121" s="10" t="s">
        <v>27</v>
      </c>
      <c r="B121" s="28" t="s">
        <v>153</v>
      </c>
      <c r="C121" s="12" t="s">
        <v>195</v>
      </c>
      <c r="D121" s="9" t="n">
        <v>1038</v>
      </c>
      <c r="E121" s="9" t="n">
        <v>0</v>
      </c>
      <c r="F121" s="29" t="n">
        <f aca="false">IFERROR(E121/D121*1000,0)</f>
        <v>0</v>
      </c>
      <c r="G121" s="14" t="n">
        <v>0.4433</v>
      </c>
      <c r="H121" s="9" t="n">
        <v>4</v>
      </c>
      <c r="I121" s="23" t="n">
        <v>0.037037037037037</v>
      </c>
    </row>
    <row r="122" customFormat="false" ht="29.85" hidden="false" customHeight="false" outlineLevel="0" collapsed="false">
      <c r="A122" s="10" t="s">
        <v>32</v>
      </c>
      <c r="B122" s="28" t="s">
        <v>79</v>
      </c>
      <c r="C122" s="12" t="s">
        <v>196</v>
      </c>
      <c r="D122" s="9" t="n">
        <v>1026</v>
      </c>
      <c r="E122" s="9" t="n">
        <v>0</v>
      </c>
      <c r="F122" s="29" t="n">
        <f aca="false">IFERROR(E122/D122*1000,0)</f>
        <v>0</v>
      </c>
      <c r="G122" s="14" t="n">
        <v>0.3632</v>
      </c>
      <c r="H122" s="9" t="n">
        <v>1</v>
      </c>
      <c r="I122" s="23" t="n">
        <v>0.0303030303030303</v>
      </c>
    </row>
    <row r="123" customFormat="false" ht="15" hidden="false" customHeight="false" outlineLevel="0" collapsed="false">
      <c r="A123" s="10" t="s">
        <v>32</v>
      </c>
      <c r="B123" s="28" t="s">
        <v>104</v>
      </c>
      <c r="C123" s="12" t="s">
        <v>197</v>
      </c>
      <c r="D123" s="9" t="n">
        <v>1023</v>
      </c>
      <c r="E123" s="9" t="n">
        <v>0</v>
      </c>
      <c r="F123" s="29" t="n">
        <f aca="false">IFERROR(E123/D123*1000,0)</f>
        <v>0</v>
      </c>
      <c r="G123" s="14" t="n">
        <v>0.3899</v>
      </c>
      <c r="H123" s="9" t="n">
        <v>2</v>
      </c>
      <c r="I123" s="23" t="n">
        <v>0.0252525252525253</v>
      </c>
    </row>
    <row r="124" customFormat="false" ht="29.85" hidden="false" customHeight="false" outlineLevel="0" collapsed="false">
      <c r="A124" s="10" t="s">
        <v>30</v>
      </c>
      <c r="B124" s="28" t="s">
        <v>73</v>
      </c>
      <c r="C124" s="10" t="s">
        <v>198</v>
      </c>
      <c r="D124" s="9" t="n">
        <v>1017</v>
      </c>
      <c r="E124" s="9" t="n">
        <v>0</v>
      </c>
      <c r="F124" s="29" t="n">
        <f aca="false">IFERROR(E124/D124*1000,0)</f>
        <v>0</v>
      </c>
      <c r="G124" s="14" t="n">
        <v>0.2347</v>
      </c>
      <c r="H124" s="9" t="n">
        <v>3</v>
      </c>
      <c r="I124" s="23" t="n">
        <v>0</v>
      </c>
    </row>
    <row r="125" customFormat="false" ht="29.85" hidden="false" customHeight="false" outlineLevel="0" collapsed="false">
      <c r="A125" s="10" t="s">
        <v>31</v>
      </c>
      <c r="B125" s="28" t="s">
        <v>102</v>
      </c>
      <c r="C125" s="10" t="s">
        <v>199</v>
      </c>
      <c r="D125" s="9" t="n">
        <v>1016</v>
      </c>
      <c r="E125" s="9" t="n">
        <v>0</v>
      </c>
      <c r="F125" s="29" t="n">
        <f aca="false">IFERROR(E125/D125*1000,0)</f>
        <v>0</v>
      </c>
      <c r="G125" s="14" t="n">
        <v>0.3817</v>
      </c>
      <c r="H125" s="9" t="n">
        <v>6</v>
      </c>
      <c r="I125" s="23" t="n">
        <v>0.0151515151515152</v>
      </c>
    </row>
    <row r="126" customFormat="false" ht="29.85" hidden="false" customHeight="false" outlineLevel="0" collapsed="false">
      <c r="A126" s="10" t="s">
        <v>28</v>
      </c>
      <c r="B126" s="28" t="s">
        <v>123</v>
      </c>
      <c r="C126" s="12" t="s">
        <v>200</v>
      </c>
      <c r="D126" s="9" t="n">
        <v>1011</v>
      </c>
      <c r="E126" s="9" t="n">
        <v>0</v>
      </c>
      <c r="F126" s="29" t="n">
        <f aca="false">IFERROR(E126/D126*1000,0)</f>
        <v>0</v>
      </c>
      <c r="G126" s="14" t="n">
        <v>0.2471</v>
      </c>
      <c r="H126" s="9" t="n">
        <v>3</v>
      </c>
      <c r="I126" s="23" t="n">
        <v>0.00663716814159292</v>
      </c>
    </row>
    <row r="127" customFormat="false" ht="29.85" hidden="false" customHeight="false" outlineLevel="0" collapsed="false">
      <c r="A127" s="10" t="s">
        <v>31</v>
      </c>
      <c r="B127" s="28" t="s">
        <v>75</v>
      </c>
      <c r="C127" s="12" t="s">
        <v>201</v>
      </c>
      <c r="D127" s="9" t="n">
        <v>1008</v>
      </c>
      <c r="E127" s="9" t="n">
        <v>0</v>
      </c>
      <c r="F127" s="29" t="n">
        <f aca="false">IFERROR(E127/D127*1000,0)</f>
        <v>0</v>
      </c>
      <c r="G127" s="14" t="n">
        <v>0.4464</v>
      </c>
      <c r="H127" s="9" t="n">
        <v>3</v>
      </c>
      <c r="I127" s="23" t="n">
        <v>0.0447761194029851</v>
      </c>
    </row>
    <row r="128" customFormat="false" ht="15" hidden="false" customHeight="false" outlineLevel="0" collapsed="false">
      <c r="A128" s="10" t="s">
        <v>31</v>
      </c>
      <c r="B128" s="28" t="s">
        <v>60</v>
      </c>
      <c r="C128" s="12" t="s">
        <v>202</v>
      </c>
      <c r="D128" s="9" t="n">
        <v>1006</v>
      </c>
      <c r="E128" s="9" t="n">
        <v>0</v>
      </c>
      <c r="F128" s="29" t="n">
        <f aca="false">IFERROR(E128/D128*1000,0)</f>
        <v>0</v>
      </c>
      <c r="G128" s="14" t="n">
        <v>0.3308</v>
      </c>
      <c r="H128" s="9" t="n">
        <v>4</v>
      </c>
      <c r="I128" s="23" t="n">
        <v>0.0290322580645161</v>
      </c>
    </row>
    <row r="129" customFormat="false" ht="29.85" hidden="false" customHeight="false" outlineLevel="0" collapsed="false">
      <c r="A129" s="10" t="s">
        <v>30</v>
      </c>
      <c r="B129" s="28" t="s">
        <v>79</v>
      </c>
      <c r="C129" s="10" t="s">
        <v>203</v>
      </c>
      <c r="D129" s="9" t="n">
        <v>1004</v>
      </c>
      <c r="E129" s="9" t="n">
        <v>0</v>
      </c>
      <c r="F129" s="29" t="n">
        <f aca="false">IFERROR(E129/D129*1000,0)</f>
        <v>0</v>
      </c>
      <c r="G129" s="14" t="n">
        <v>0.4103</v>
      </c>
      <c r="H129" s="9" t="n">
        <v>2</v>
      </c>
      <c r="I129" s="23" t="n">
        <v>0.0169491525423729</v>
      </c>
    </row>
    <row r="130" customFormat="false" ht="29.85" hidden="false" customHeight="false" outlineLevel="0" collapsed="false">
      <c r="A130" s="10" t="s">
        <v>28</v>
      </c>
      <c r="B130" s="28" t="s">
        <v>51</v>
      </c>
      <c r="C130" s="12" t="s">
        <v>204</v>
      </c>
      <c r="D130" s="9" t="n">
        <v>1003</v>
      </c>
      <c r="E130" s="9" t="n">
        <v>0</v>
      </c>
      <c r="F130" s="29" t="n">
        <f aca="false">IFERROR(E130/D130*1000,0)</f>
        <v>0</v>
      </c>
      <c r="G130" s="14" t="n">
        <v>0.249</v>
      </c>
      <c r="H130" s="9" t="n">
        <v>7</v>
      </c>
      <c r="I130" s="23" t="n">
        <v>0</v>
      </c>
    </row>
    <row r="131" customFormat="false" ht="29.85" hidden="false" customHeight="false" outlineLevel="0" collapsed="false">
      <c r="A131" s="10" t="s">
        <v>32</v>
      </c>
      <c r="B131" s="28" t="s">
        <v>57</v>
      </c>
      <c r="C131" s="12" t="s">
        <v>205</v>
      </c>
      <c r="D131" s="9" t="n">
        <v>1002</v>
      </c>
      <c r="E131" s="9" t="n">
        <v>0</v>
      </c>
      <c r="F131" s="29" t="n">
        <f aca="false">IFERROR(E131/D131*1000,0)</f>
        <v>0</v>
      </c>
      <c r="G131" s="14" t="n">
        <v>0.4425</v>
      </c>
      <c r="H131" s="9" t="n">
        <v>1</v>
      </c>
      <c r="I131" s="23" t="n">
        <v>0.00943396226415094</v>
      </c>
    </row>
    <row r="132" customFormat="false" ht="29.85" hidden="false" customHeight="false" outlineLevel="0" collapsed="false">
      <c r="A132" s="10" t="s">
        <v>32</v>
      </c>
      <c r="B132" s="28" t="s">
        <v>57</v>
      </c>
      <c r="C132" s="12" t="s">
        <v>206</v>
      </c>
      <c r="D132" s="9" t="n">
        <v>999</v>
      </c>
      <c r="E132" s="9" t="n">
        <v>0</v>
      </c>
      <c r="F132" s="29" t="n">
        <f aca="false">IFERROR(E132/D132*1000,0)</f>
        <v>0</v>
      </c>
      <c r="G132" s="14" t="n">
        <v>0.5337</v>
      </c>
      <c r="H132" s="9" t="n">
        <v>2</v>
      </c>
      <c r="I132" s="23" t="n">
        <v>0.0232558139534884</v>
      </c>
    </row>
    <row r="133" customFormat="false" ht="29.85" hidden="false" customHeight="false" outlineLevel="0" collapsed="false">
      <c r="A133" s="10" t="s">
        <v>30</v>
      </c>
      <c r="B133" s="28" t="s">
        <v>57</v>
      </c>
      <c r="C133" s="12" t="s">
        <v>207</v>
      </c>
      <c r="D133" s="9" t="n">
        <v>996</v>
      </c>
      <c r="E133" s="9" t="n">
        <v>0</v>
      </c>
      <c r="F133" s="29" t="n">
        <f aca="false">IFERROR(E133/D133*1000,0)</f>
        <v>0</v>
      </c>
      <c r="G133" s="14" t="n">
        <v>0.3123</v>
      </c>
      <c r="H133" s="9" t="n">
        <v>2</v>
      </c>
      <c r="I133" s="23" t="n">
        <v>0.0192307692307692</v>
      </c>
    </row>
    <row r="134" customFormat="false" ht="15" hidden="false" customHeight="false" outlineLevel="0" collapsed="false">
      <c r="A134" s="10" t="s">
        <v>27</v>
      </c>
      <c r="B134" s="28" t="s">
        <v>75</v>
      </c>
      <c r="C134" s="12" t="s">
        <v>208</v>
      </c>
      <c r="D134" s="9" t="n">
        <v>992</v>
      </c>
      <c r="E134" s="9" t="n">
        <v>0</v>
      </c>
      <c r="F134" s="29" t="n">
        <f aca="false">IFERROR(E134/D134*1000,0)</f>
        <v>0</v>
      </c>
      <c r="G134" s="14" t="n">
        <v>0.9116</v>
      </c>
      <c r="H134" s="9" t="n">
        <v>4</v>
      </c>
      <c r="I134" s="23" t="n">
        <v>0</v>
      </c>
    </row>
    <row r="135" customFormat="false" ht="29.85" hidden="false" customHeight="false" outlineLevel="0" collapsed="false">
      <c r="A135" s="10" t="s">
        <v>28</v>
      </c>
      <c r="B135" s="28" t="s">
        <v>79</v>
      </c>
      <c r="C135" s="12" t="s">
        <v>209</v>
      </c>
      <c r="D135" s="9" t="n">
        <v>992</v>
      </c>
      <c r="E135" s="9" t="n">
        <v>0</v>
      </c>
      <c r="F135" s="29" t="n">
        <f aca="false">IFERROR(E135/D135*1000,0)</f>
        <v>0</v>
      </c>
      <c r="G135" s="14" t="n">
        <v>0.2827</v>
      </c>
      <c r="H135" s="9" t="n">
        <v>8</v>
      </c>
      <c r="I135" s="23" t="n">
        <v>0.0224719101123596</v>
      </c>
    </row>
    <row r="136" customFormat="false" ht="29.85" hidden="false" customHeight="false" outlineLevel="0" collapsed="false">
      <c r="A136" s="10" t="s">
        <v>31</v>
      </c>
      <c r="B136" s="28" t="s">
        <v>91</v>
      </c>
      <c r="C136" s="10" t="s">
        <v>210</v>
      </c>
      <c r="D136" s="9" t="n">
        <v>988</v>
      </c>
      <c r="E136" s="9" t="n">
        <v>0</v>
      </c>
      <c r="F136" s="29" t="n">
        <f aca="false">IFERROR(E136/D136*1000,0)</f>
        <v>0</v>
      </c>
      <c r="G136" s="14" t="n">
        <v>0.2857</v>
      </c>
      <c r="H136" s="9" t="n">
        <v>4</v>
      </c>
      <c r="I136" s="23" t="n">
        <v>0.0114942528735632</v>
      </c>
    </row>
    <row r="137" customFormat="false" ht="15" hidden="false" customHeight="false" outlineLevel="0" collapsed="false">
      <c r="A137" s="10" t="s">
        <v>32</v>
      </c>
      <c r="B137" s="28" t="s">
        <v>65</v>
      </c>
      <c r="C137" s="12" t="s">
        <v>211</v>
      </c>
      <c r="D137" s="9" t="n">
        <v>975</v>
      </c>
      <c r="E137" s="9" t="n">
        <v>0</v>
      </c>
      <c r="F137" s="29" t="n">
        <f aca="false">IFERROR(E137/D137*1000,0)</f>
        <v>0</v>
      </c>
      <c r="G137" s="14" t="n">
        <v>0.3925</v>
      </c>
      <c r="H137" s="9" t="n">
        <v>0</v>
      </c>
      <c r="I137" s="23" t="n">
        <v>0.0636363636363636</v>
      </c>
    </row>
    <row r="138" customFormat="false" ht="29.85" hidden="false" customHeight="false" outlineLevel="0" collapsed="false">
      <c r="A138" s="10" t="s">
        <v>28</v>
      </c>
      <c r="B138" s="28" t="s">
        <v>63</v>
      </c>
      <c r="C138" s="10" t="s">
        <v>212</v>
      </c>
      <c r="D138" s="9" t="n">
        <v>969</v>
      </c>
      <c r="E138" s="9" t="n">
        <v>0</v>
      </c>
      <c r="F138" s="29" t="n">
        <f aca="false">IFERROR(E138/D138*1000,0)</f>
        <v>0</v>
      </c>
      <c r="G138" s="14" t="n">
        <v>0.4617</v>
      </c>
      <c r="H138" s="9" t="n">
        <v>3</v>
      </c>
      <c r="I138" s="23" t="n">
        <v>0.0163487738419619</v>
      </c>
    </row>
    <row r="139" customFormat="false" ht="15" hidden="false" customHeight="false" outlineLevel="0" collapsed="false">
      <c r="A139" s="10" t="s">
        <v>29</v>
      </c>
      <c r="B139" s="28" t="s">
        <v>73</v>
      </c>
      <c r="C139" s="10" t="s">
        <v>213</v>
      </c>
      <c r="D139" s="9" t="n">
        <v>968</v>
      </c>
      <c r="E139" s="9" t="n">
        <v>0</v>
      </c>
      <c r="F139" s="29" t="n">
        <f aca="false">IFERROR(E139/D139*1000,0)</f>
        <v>0</v>
      </c>
      <c r="G139" s="14" t="n">
        <v>0.3263</v>
      </c>
      <c r="H139" s="9" t="n">
        <v>5</v>
      </c>
      <c r="I139" s="23" t="n">
        <v>0</v>
      </c>
    </row>
    <row r="140" customFormat="false" ht="15" hidden="false" customHeight="false" outlineLevel="0" collapsed="false">
      <c r="A140" s="10" t="s">
        <v>29</v>
      </c>
      <c r="B140" s="28" t="s">
        <v>75</v>
      </c>
      <c r="C140" s="10" t="s">
        <v>214</v>
      </c>
      <c r="D140" s="9" t="n">
        <v>967</v>
      </c>
      <c r="E140" s="9" t="n">
        <v>0</v>
      </c>
      <c r="F140" s="29" t="n">
        <f aca="false">IFERROR(E140/D140*1000,0)</f>
        <v>0</v>
      </c>
      <c r="G140" s="14" t="n">
        <v>0.4849</v>
      </c>
      <c r="H140" s="9" t="n">
        <v>2</v>
      </c>
      <c r="I140" s="23" t="n">
        <v>0</v>
      </c>
    </row>
    <row r="141" customFormat="false" ht="29.85" hidden="false" customHeight="false" outlineLevel="0" collapsed="false">
      <c r="A141" s="10" t="s">
        <v>29</v>
      </c>
      <c r="B141" s="28" t="s">
        <v>73</v>
      </c>
      <c r="C141" s="12" t="s">
        <v>215</v>
      </c>
      <c r="D141" s="9" t="n">
        <v>967</v>
      </c>
      <c r="E141" s="9" t="n">
        <v>0</v>
      </c>
      <c r="F141" s="29" t="n">
        <f aca="false">IFERROR(E141/D141*1000,0)</f>
        <v>0</v>
      </c>
      <c r="G141" s="14" t="n">
        <v>0.3015</v>
      </c>
      <c r="H141" s="9" t="n">
        <v>5</v>
      </c>
      <c r="I141" s="23" t="n">
        <v>0</v>
      </c>
    </row>
    <row r="142" customFormat="false" ht="15" hidden="false" customHeight="false" outlineLevel="0" collapsed="false">
      <c r="A142" s="10" t="s">
        <v>29</v>
      </c>
      <c r="B142" s="28" t="s">
        <v>51</v>
      </c>
      <c r="C142" s="12" t="s">
        <v>216</v>
      </c>
      <c r="D142" s="9" t="n">
        <v>963</v>
      </c>
      <c r="E142" s="9" t="n">
        <v>0</v>
      </c>
      <c r="F142" s="29" t="n">
        <f aca="false">IFERROR(E142/D142*1000,0)</f>
        <v>0</v>
      </c>
      <c r="G142" s="14" t="n">
        <v>0.3465</v>
      </c>
      <c r="H142" s="9" t="n">
        <v>5</v>
      </c>
      <c r="I142" s="23" t="n">
        <v>0.0131578947368421</v>
      </c>
    </row>
    <row r="143" customFormat="false" ht="29.85" hidden="false" customHeight="false" outlineLevel="0" collapsed="false">
      <c r="A143" s="10" t="s">
        <v>28</v>
      </c>
      <c r="B143" s="28" t="s">
        <v>73</v>
      </c>
      <c r="C143" s="12" t="s">
        <v>217</v>
      </c>
      <c r="D143" s="9" t="n">
        <v>961</v>
      </c>
      <c r="E143" s="9" t="n">
        <v>0</v>
      </c>
      <c r="F143" s="29" t="n">
        <f aca="false">IFERROR(E143/D143*1000,0)</f>
        <v>0</v>
      </c>
      <c r="G143" s="14" t="n">
        <v>0.2674</v>
      </c>
      <c r="H143" s="9" t="n">
        <v>5</v>
      </c>
      <c r="I143" s="23" t="n">
        <v>0.00457875457875458</v>
      </c>
    </row>
    <row r="144" customFormat="false" ht="15" hidden="false" customHeight="false" outlineLevel="0" collapsed="false">
      <c r="A144" s="10" t="s">
        <v>29</v>
      </c>
      <c r="B144" s="28" t="s">
        <v>55</v>
      </c>
      <c r="C144" s="12" t="s">
        <v>218</v>
      </c>
      <c r="D144" s="9" t="n">
        <v>958</v>
      </c>
      <c r="E144" s="9" t="n">
        <v>0</v>
      </c>
      <c r="F144" s="29" t="n">
        <f aca="false">IFERROR(E144/D144*1000,0)</f>
        <v>0</v>
      </c>
      <c r="G144" s="14" t="n">
        <v>1.4483</v>
      </c>
      <c r="H144" s="9" t="n">
        <v>3</v>
      </c>
      <c r="I144" s="23" t="n">
        <v>0</v>
      </c>
    </row>
    <row r="145" customFormat="false" ht="29.85" hidden="false" customHeight="false" outlineLevel="0" collapsed="false">
      <c r="A145" s="10" t="s">
        <v>28</v>
      </c>
      <c r="B145" s="28" t="s">
        <v>86</v>
      </c>
      <c r="C145" s="12" t="s">
        <v>219</v>
      </c>
      <c r="D145" s="9" t="n">
        <v>955</v>
      </c>
      <c r="E145" s="9" t="n">
        <v>0</v>
      </c>
      <c r="F145" s="29" t="n">
        <f aca="false">IFERROR(E145/D145*1000,0)</f>
        <v>0</v>
      </c>
      <c r="G145" s="14" t="n">
        <v>0.2743</v>
      </c>
      <c r="H145" s="9" t="n">
        <v>4</v>
      </c>
      <c r="I145" s="23" t="n">
        <v>0.00946643717728055</v>
      </c>
    </row>
    <row r="146" customFormat="false" ht="29.85" hidden="false" customHeight="false" outlineLevel="0" collapsed="false">
      <c r="A146" s="10" t="s">
        <v>27</v>
      </c>
      <c r="B146" s="28" t="s">
        <v>73</v>
      </c>
      <c r="C146" s="10" t="s">
        <v>220</v>
      </c>
      <c r="D146" s="9" t="n">
        <v>955</v>
      </c>
      <c r="E146" s="9" t="n">
        <v>0</v>
      </c>
      <c r="F146" s="29" t="n">
        <f aca="false">IFERROR(E146/D146*1000,0)</f>
        <v>0</v>
      </c>
      <c r="G146" s="14" t="n">
        <v>0.3005</v>
      </c>
      <c r="H146" s="9" t="n">
        <v>7</v>
      </c>
      <c r="I146" s="23" t="n">
        <v>0</v>
      </c>
    </row>
    <row r="147" customFormat="false" ht="15" hidden="false" customHeight="false" outlineLevel="0" collapsed="false">
      <c r="A147" s="10" t="s">
        <v>29</v>
      </c>
      <c r="B147" s="28" t="s">
        <v>128</v>
      </c>
      <c r="C147" s="10" t="s">
        <v>221</v>
      </c>
      <c r="D147" s="9" t="n">
        <v>952</v>
      </c>
      <c r="E147" s="9" t="n">
        <v>0</v>
      </c>
      <c r="F147" s="29" t="n">
        <f aca="false">IFERROR(E147/D147*1000,0)</f>
        <v>0</v>
      </c>
      <c r="G147" s="14" t="n">
        <v>0.4267</v>
      </c>
      <c r="H147" s="9" t="n">
        <v>0</v>
      </c>
      <c r="I147" s="23" t="n">
        <v>0</v>
      </c>
    </row>
    <row r="148" customFormat="false" ht="15" hidden="false" customHeight="false" outlineLevel="0" collapsed="false">
      <c r="A148" s="10" t="s">
        <v>29</v>
      </c>
      <c r="B148" s="28" t="s">
        <v>73</v>
      </c>
      <c r="C148" s="12" t="s">
        <v>222</v>
      </c>
      <c r="D148" s="9" t="n">
        <v>951</v>
      </c>
      <c r="E148" s="9" t="n">
        <v>0</v>
      </c>
      <c r="F148" s="29" t="n">
        <f aca="false">IFERROR(E148/D148*1000,0)</f>
        <v>0</v>
      </c>
      <c r="G148" s="14" t="n">
        <v>0.3644</v>
      </c>
      <c r="H148" s="9" t="n">
        <v>3</v>
      </c>
      <c r="I148" s="23" t="n">
        <v>0</v>
      </c>
    </row>
    <row r="149" customFormat="false" ht="15" hidden="false" customHeight="false" outlineLevel="0" collapsed="false">
      <c r="A149" s="10" t="s">
        <v>29</v>
      </c>
      <c r="B149" s="28" t="s">
        <v>57</v>
      </c>
      <c r="C149" s="12" t="s">
        <v>223</v>
      </c>
      <c r="D149" s="9" t="n">
        <v>947</v>
      </c>
      <c r="E149" s="9" t="n">
        <v>0</v>
      </c>
      <c r="F149" s="29" t="n">
        <f aca="false">IFERROR(E149/D149*1000,0)</f>
        <v>0</v>
      </c>
      <c r="G149" s="14" t="n">
        <v>0.3215</v>
      </c>
      <c r="H149" s="9" t="n">
        <v>2</v>
      </c>
      <c r="I149" s="23" t="n">
        <v>0</v>
      </c>
    </row>
    <row r="150" customFormat="false" ht="29.85" hidden="false" customHeight="false" outlineLevel="0" collapsed="false">
      <c r="A150" s="10" t="s">
        <v>27</v>
      </c>
      <c r="B150" s="28" t="s">
        <v>51</v>
      </c>
      <c r="C150" s="10" t="s">
        <v>224</v>
      </c>
      <c r="D150" s="9" t="n">
        <v>944</v>
      </c>
      <c r="E150" s="9" t="n">
        <v>0</v>
      </c>
      <c r="F150" s="29" t="n">
        <f aca="false">IFERROR(E150/D150*1000,0)</f>
        <v>0</v>
      </c>
      <c r="G150" s="14" t="n">
        <v>0.4167</v>
      </c>
      <c r="H150" s="9" t="n">
        <v>7</v>
      </c>
      <c r="I150" s="23" t="n">
        <v>0</v>
      </c>
    </row>
    <row r="151" customFormat="false" ht="29.85" hidden="false" customHeight="false" outlineLevel="0" collapsed="false">
      <c r="A151" s="10" t="s">
        <v>28</v>
      </c>
      <c r="B151" s="28" t="s">
        <v>91</v>
      </c>
      <c r="C151" s="12" t="s">
        <v>225</v>
      </c>
      <c r="D151" s="9" t="n">
        <v>942</v>
      </c>
      <c r="E151" s="9" t="n">
        <v>0</v>
      </c>
      <c r="F151" s="29" t="n">
        <f aca="false">IFERROR(E151/D151*1000,0)</f>
        <v>0</v>
      </c>
      <c r="G151" s="14" t="n">
        <v>0.3284</v>
      </c>
      <c r="H151" s="9" t="n">
        <v>0</v>
      </c>
      <c r="I151" s="23" t="n">
        <v>0.036697247706422</v>
      </c>
    </row>
    <row r="152" customFormat="false" ht="15" hidden="false" customHeight="false" outlineLevel="0" collapsed="false">
      <c r="A152" s="10" t="s">
        <v>27</v>
      </c>
      <c r="B152" s="28" t="s">
        <v>57</v>
      </c>
      <c r="C152" s="12" t="s">
        <v>226</v>
      </c>
      <c r="D152" s="9" t="n">
        <v>937</v>
      </c>
      <c r="E152" s="9" t="n">
        <v>0</v>
      </c>
      <c r="F152" s="29" t="n">
        <f aca="false">IFERROR(E152/D152*1000,0)</f>
        <v>0</v>
      </c>
      <c r="G152" s="14" t="n">
        <v>0.3745</v>
      </c>
      <c r="H152" s="9" t="n">
        <v>7</v>
      </c>
      <c r="I152" s="23" t="n">
        <v>0</v>
      </c>
    </row>
    <row r="153" customFormat="false" ht="15" hidden="false" customHeight="false" outlineLevel="0" collapsed="false">
      <c r="A153" s="10" t="s">
        <v>30</v>
      </c>
      <c r="B153" s="28" t="s">
        <v>75</v>
      </c>
      <c r="C153" s="12" t="s">
        <v>227</v>
      </c>
      <c r="D153" s="9" t="n">
        <v>935</v>
      </c>
      <c r="E153" s="9" t="n">
        <v>0</v>
      </c>
      <c r="F153" s="29" t="n">
        <f aca="false">IFERROR(E153/D153*1000,0)</f>
        <v>0</v>
      </c>
      <c r="G153" s="14" t="n">
        <v>0.559</v>
      </c>
      <c r="H153" s="9" t="n">
        <v>0</v>
      </c>
      <c r="I153" s="23" t="n">
        <v>0</v>
      </c>
    </row>
    <row r="154" customFormat="false" ht="29.85" hidden="false" customHeight="false" outlineLevel="0" collapsed="false">
      <c r="A154" s="10" t="s">
        <v>30</v>
      </c>
      <c r="B154" s="28" t="s">
        <v>86</v>
      </c>
      <c r="C154" s="10" t="s">
        <v>228</v>
      </c>
      <c r="D154" s="9" t="n">
        <v>934</v>
      </c>
      <c r="E154" s="9" t="n">
        <v>0</v>
      </c>
      <c r="F154" s="29" t="n">
        <f aca="false">IFERROR(E154/D154*1000,0)</f>
        <v>0</v>
      </c>
      <c r="G154" s="14" t="n">
        <v>0.3939</v>
      </c>
      <c r="H154" s="9" t="n">
        <v>3</v>
      </c>
      <c r="I154" s="23" t="n">
        <v>0</v>
      </c>
    </row>
    <row r="155" customFormat="false" ht="15" hidden="false" customHeight="false" outlineLevel="0" collapsed="false">
      <c r="A155" s="10" t="s">
        <v>29</v>
      </c>
      <c r="B155" s="28" t="s">
        <v>86</v>
      </c>
      <c r="C155" s="12" t="s">
        <v>229</v>
      </c>
      <c r="D155" s="9" t="n">
        <v>928</v>
      </c>
      <c r="E155" s="9" t="n">
        <v>0</v>
      </c>
      <c r="F155" s="29" t="n">
        <f aca="false">IFERROR(E155/D155*1000,0)</f>
        <v>0</v>
      </c>
      <c r="G155" s="14" t="n">
        <v>0.3065</v>
      </c>
      <c r="H155" s="9" t="n">
        <v>4</v>
      </c>
      <c r="I155" s="23" t="n">
        <v>0</v>
      </c>
    </row>
    <row r="156" customFormat="false" ht="15" hidden="false" customHeight="false" outlineLevel="0" collapsed="false">
      <c r="A156" s="10" t="s">
        <v>28</v>
      </c>
      <c r="B156" s="28" t="s">
        <v>104</v>
      </c>
      <c r="C156" s="10" t="s">
        <v>230</v>
      </c>
      <c r="D156" s="9" t="n">
        <v>926</v>
      </c>
      <c r="E156" s="9" t="n">
        <v>0</v>
      </c>
      <c r="F156" s="29" t="n">
        <f aca="false">IFERROR(E156/D156*1000,0)</f>
        <v>0</v>
      </c>
      <c r="G156" s="14" t="n">
        <v>0</v>
      </c>
      <c r="H156" s="9" t="n">
        <v>5</v>
      </c>
      <c r="I156" s="23" t="n">
        <v>0.0209580838323353</v>
      </c>
    </row>
    <row r="157" customFormat="false" ht="29.85" hidden="false" customHeight="false" outlineLevel="0" collapsed="false">
      <c r="A157" s="10" t="s">
        <v>30</v>
      </c>
      <c r="B157" s="28" t="s">
        <v>51</v>
      </c>
      <c r="C157" s="10" t="s">
        <v>231</v>
      </c>
      <c r="D157" s="9" t="n">
        <v>921</v>
      </c>
      <c r="E157" s="9" t="n">
        <v>0</v>
      </c>
      <c r="F157" s="29" t="n">
        <f aca="false">IFERROR(E157/D157*1000,0)</f>
        <v>0</v>
      </c>
      <c r="G157" s="14" t="n">
        <v>0.25</v>
      </c>
      <c r="H157" s="9" t="n">
        <v>1</v>
      </c>
      <c r="I157" s="23" t="n">
        <v>0</v>
      </c>
    </row>
    <row r="158" customFormat="false" ht="29.85" hidden="false" customHeight="false" outlineLevel="0" collapsed="false">
      <c r="A158" s="10" t="s">
        <v>29</v>
      </c>
      <c r="B158" s="28" t="s">
        <v>75</v>
      </c>
      <c r="C158" s="12" t="s">
        <v>232</v>
      </c>
      <c r="D158" s="9" t="n">
        <v>912</v>
      </c>
      <c r="E158" s="9" t="n">
        <v>0</v>
      </c>
      <c r="F158" s="29" t="n">
        <f aca="false">IFERROR(E158/D158*1000,0)</f>
        <v>0</v>
      </c>
      <c r="G158" s="14" t="n">
        <v>0.361</v>
      </c>
      <c r="H158" s="9" t="n">
        <v>0</v>
      </c>
      <c r="I158" s="23" t="n">
        <v>0</v>
      </c>
    </row>
    <row r="159" customFormat="false" ht="15" hidden="false" customHeight="false" outlineLevel="0" collapsed="false">
      <c r="A159" s="10" t="s">
        <v>29</v>
      </c>
      <c r="B159" s="28" t="s">
        <v>79</v>
      </c>
      <c r="C159" s="12" t="s">
        <v>233</v>
      </c>
      <c r="D159" s="9" t="n">
        <v>909</v>
      </c>
      <c r="E159" s="9" t="n">
        <v>0</v>
      </c>
      <c r="F159" s="29" t="n">
        <f aca="false">IFERROR(E159/D159*1000,0)</f>
        <v>0</v>
      </c>
      <c r="G159" s="14" t="n">
        <v>0.2713</v>
      </c>
      <c r="H159" s="9" t="n">
        <v>2</v>
      </c>
      <c r="I159" s="23" t="n">
        <v>0</v>
      </c>
    </row>
    <row r="160" customFormat="false" ht="15" hidden="false" customHeight="false" outlineLevel="0" collapsed="false">
      <c r="A160" s="10" t="s">
        <v>28</v>
      </c>
      <c r="B160" s="28" t="s">
        <v>75</v>
      </c>
      <c r="C160" s="10" t="s">
        <v>234</v>
      </c>
      <c r="D160" s="9" t="n">
        <v>901</v>
      </c>
      <c r="E160" s="9" t="n">
        <v>0</v>
      </c>
      <c r="F160" s="29" t="n">
        <f aca="false">IFERROR(E160/D160*1000,0)</f>
        <v>0</v>
      </c>
      <c r="G160" s="14" t="n">
        <v>0.3905</v>
      </c>
      <c r="H160" s="9" t="n">
        <v>4</v>
      </c>
      <c r="I160" s="23" t="n">
        <v>0.00623700623700624</v>
      </c>
    </row>
    <row r="161" customFormat="false" ht="15" hidden="false" customHeight="false" outlineLevel="0" collapsed="false">
      <c r="A161" s="10" t="s">
        <v>27</v>
      </c>
      <c r="B161" s="28" t="s">
        <v>128</v>
      </c>
      <c r="C161" s="12" t="s">
        <v>235</v>
      </c>
      <c r="D161" s="9" t="n">
        <v>899</v>
      </c>
      <c r="E161" s="9" t="n">
        <v>0</v>
      </c>
      <c r="F161" s="29" t="n">
        <f aca="false">IFERROR(E161/D161*1000,0)</f>
        <v>0</v>
      </c>
      <c r="G161" s="14" t="n">
        <v>1.1062</v>
      </c>
      <c r="H161" s="9" t="n">
        <v>7</v>
      </c>
      <c r="I161" s="23" t="n">
        <v>0</v>
      </c>
    </row>
    <row r="162" customFormat="false" ht="15" hidden="false" customHeight="false" outlineLevel="0" collapsed="false">
      <c r="A162" s="10" t="s">
        <v>28</v>
      </c>
      <c r="B162" s="28" t="s">
        <v>128</v>
      </c>
      <c r="C162" s="12" t="s">
        <v>236</v>
      </c>
      <c r="D162" s="9" t="n">
        <v>891</v>
      </c>
      <c r="E162" s="9" t="n">
        <v>0</v>
      </c>
      <c r="F162" s="29" t="n">
        <f aca="false">IFERROR(E162/D162*1000,0)</f>
        <v>0</v>
      </c>
      <c r="G162" s="14" t="n">
        <v>0</v>
      </c>
      <c r="H162" s="9" t="n">
        <v>3</v>
      </c>
      <c r="I162" s="23" t="n">
        <v>0.027027027027027</v>
      </c>
    </row>
    <row r="163" customFormat="false" ht="15" hidden="false" customHeight="false" outlineLevel="0" collapsed="false">
      <c r="A163" s="10" t="s">
        <v>30</v>
      </c>
      <c r="B163" s="28" t="s">
        <v>60</v>
      </c>
      <c r="C163" s="12" t="s">
        <v>237</v>
      </c>
      <c r="D163" s="9" t="n">
        <v>884</v>
      </c>
      <c r="E163" s="9" t="n">
        <v>0</v>
      </c>
      <c r="F163" s="29" t="n">
        <f aca="false">IFERROR(E163/D163*1000,0)</f>
        <v>0</v>
      </c>
      <c r="G163" s="14" t="n">
        <v>0.4612</v>
      </c>
      <c r="H163" s="9" t="n">
        <v>4</v>
      </c>
      <c r="I163" s="23" t="n">
        <v>0</v>
      </c>
    </row>
    <row r="164" customFormat="false" ht="15" hidden="false" customHeight="false" outlineLevel="0" collapsed="false">
      <c r="A164" s="10" t="s">
        <v>29</v>
      </c>
      <c r="B164" s="28" t="s">
        <v>86</v>
      </c>
      <c r="C164" s="12" t="s">
        <v>238</v>
      </c>
      <c r="D164" s="9" t="n">
        <v>882</v>
      </c>
      <c r="E164" s="9" t="n">
        <v>0</v>
      </c>
      <c r="F164" s="29" t="n">
        <f aca="false">IFERROR(E164/D164*1000,0)</f>
        <v>0</v>
      </c>
      <c r="G164" s="14" t="n">
        <v>0.3574</v>
      </c>
      <c r="H164" s="9" t="n">
        <v>1</v>
      </c>
      <c r="I164" s="23" t="n">
        <v>0</v>
      </c>
    </row>
    <row r="165" customFormat="false" ht="29.85" hidden="false" customHeight="false" outlineLevel="0" collapsed="false">
      <c r="A165" s="10" t="s">
        <v>28</v>
      </c>
      <c r="B165" s="28" t="s">
        <v>104</v>
      </c>
      <c r="C165" s="10" t="s">
        <v>239</v>
      </c>
      <c r="D165" s="9" t="n">
        <v>881</v>
      </c>
      <c r="E165" s="9" t="n">
        <v>0</v>
      </c>
      <c r="F165" s="29" t="n">
        <f aca="false">IFERROR(E165/D165*1000,0)</f>
        <v>0</v>
      </c>
      <c r="G165" s="14" t="n">
        <v>0.5176</v>
      </c>
      <c r="H165" s="9" t="n">
        <v>9</v>
      </c>
      <c r="I165" s="23" t="n">
        <v>0.00977198697068404</v>
      </c>
    </row>
    <row r="166" customFormat="false" ht="15" hidden="false" customHeight="false" outlineLevel="0" collapsed="false">
      <c r="A166" s="10" t="s">
        <v>27</v>
      </c>
      <c r="B166" s="28" t="s">
        <v>57</v>
      </c>
      <c r="C166" s="12" t="s">
        <v>240</v>
      </c>
      <c r="D166" s="9" t="n">
        <v>879</v>
      </c>
      <c r="E166" s="9" t="n">
        <v>0</v>
      </c>
      <c r="F166" s="29" t="n">
        <f aca="false">IFERROR(E166/D166*1000,0)</f>
        <v>0</v>
      </c>
      <c r="G166" s="14" t="n">
        <v>0.5875</v>
      </c>
      <c r="H166" s="9" t="n">
        <v>5</v>
      </c>
      <c r="I166" s="23" t="n">
        <v>0</v>
      </c>
    </row>
    <row r="167" customFormat="false" ht="29.85" hidden="false" customHeight="false" outlineLevel="0" collapsed="false">
      <c r="A167" s="10" t="s">
        <v>30</v>
      </c>
      <c r="B167" s="28" t="s">
        <v>55</v>
      </c>
      <c r="C167" s="10" t="s">
        <v>241</v>
      </c>
      <c r="D167" s="9" t="n">
        <v>866</v>
      </c>
      <c r="E167" s="9" t="n">
        <v>0</v>
      </c>
      <c r="F167" s="29" t="n">
        <f aca="false">IFERROR(E167/D167*1000,0)</f>
        <v>0</v>
      </c>
      <c r="G167" s="14" t="n">
        <v>0.4186</v>
      </c>
      <c r="H167" s="9" t="n">
        <v>3</v>
      </c>
      <c r="I167" s="23" t="n">
        <v>0</v>
      </c>
    </row>
    <row r="168" customFormat="false" ht="29.85" hidden="false" customHeight="false" outlineLevel="0" collapsed="false">
      <c r="A168" s="10" t="s">
        <v>27</v>
      </c>
      <c r="B168" s="28" t="s">
        <v>69</v>
      </c>
      <c r="C168" s="12" t="s">
        <v>242</v>
      </c>
      <c r="D168" s="9" t="n">
        <v>857</v>
      </c>
      <c r="E168" s="9" t="n">
        <v>0</v>
      </c>
      <c r="F168" s="29" t="n">
        <f aca="false">IFERROR(E168/D168*1000,0)</f>
        <v>0</v>
      </c>
      <c r="G168" s="14" t="n">
        <v>0.4779</v>
      </c>
      <c r="H168" s="9" t="n">
        <v>4</v>
      </c>
      <c r="I168" s="23" t="n">
        <v>0</v>
      </c>
    </row>
    <row r="169" customFormat="false" ht="15" hidden="false" customHeight="false" outlineLevel="0" collapsed="false">
      <c r="A169" s="10" t="s">
        <v>29</v>
      </c>
      <c r="B169" s="28" t="s">
        <v>91</v>
      </c>
      <c r="C169" s="12" t="s">
        <v>243</v>
      </c>
      <c r="D169" s="9" t="n">
        <v>856</v>
      </c>
      <c r="E169" s="9" t="n">
        <v>0</v>
      </c>
      <c r="F169" s="29" t="n">
        <f aca="false">IFERROR(E169/D169*1000,0)</f>
        <v>0</v>
      </c>
      <c r="G169" s="14" t="n">
        <v>0.3913</v>
      </c>
      <c r="H169" s="9" t="n">
        <v>2</v>
      </c>
      <c r="I169" s="23" t="n">
        <v>0</v>
      </c>
    </row>
    <row r="170" customFormat="false" ht="29.85" hidden="false" customHeight="false" outlineLevel="0" collapsed="false">
      <c r="A170" s="10" t="s">
        <v>27</v>
      </c>
      <c r="B170" s="28" t="s">
        <v>79</v>
      </c>
      <c r="C170" s="10" t="s">
        <v>244</v>
      </c>
      <c r="D170" s="9" t="n">
        <v>847</v>
      </c>
      <c r="E170" s="9" t="n">
        <v>0</v>
      </c>
      <c r="F170" s="29" t="n">
        <f aca="false">IFERROR(E170/D170*1000,0)</f>
        <v>0</v>
      </c>
      <c r="G170" s="14" t="n">
        <v>0.3584</v>
      </c>
      <c r="H170" s="9" t="n">
        <v>6</v>
      </c>
      <c r="I170" s="23" t="n">
        <v>0</v>
      </c>
    </row>
    <row r="171" customFormat="false" ht="29.85" hidden="false" customHeight="false" outlineLevel="0" collapsed="false">
      <c r="A171" s="10" t="s">
        <v>30</v>
      </c>
      <c r="B171" s="28" t="s">
        <v>91</v>
      </c>
      <c r="C171" s="10" t="s">
        <v>245</v>
      </c>
      <c r="D171" s="9" t="n">
        <v>842</v>
      </c>
      <c r="E171" s="9" t="n">
        <v>0</v>
      </c>
      <c r="F171" s="29" t="n">
        <f aca="false">IFERROR(E171/D171*1000,0)</f>
        <v>0</v>
      </c>
      <c r="G171" s="14" t="n">
        <v>0.3511</v>
      </c>
      <c r="H171" s="9" t="n">
        <v>3</v>
      </c>
      <c r="I171" s="23" t="n">
        <v>0.00862068965517241</v>
      </c>
    </row>
    <row r="172" customFormat="false" ht="15" hidden="false" customHeight="false" outlineLevel="0" collapsed="false">
      <c r="A172" s="10" t="s">
        <v>29</v>
      </c>
      <c r="B172" s="28" t="s">
        <v>55</v>
      </c>
      <c r="C172" s="12" t="s">
        <v>246</v>
      </c>
      <c r="D172" s="9" t="n">
        <v>841</v>
      </c>
      <c r="E172" s="9" t="n">
        <v>0</v>
      </c>
      <c r="F172" s="29" t="n">
        <f aca="false">IFERROR(E172/D172*1000,0)</f>
        <v>0</v>
      </c>
      <c r="G172" s="14" t="n">
        <v>0.5051</v>
      </c>
      <c r="H172" s="9" t="n">
        <v>1</v>
      </c>
      <c r="I172" s="23" t="n">
        <v>0.00862068965517241</v>
      </c>
    </row>
    <row r="173" customFormat="false" ht="15" hidden="false" customHeight="false" outlineLevel="0" collapsed="false">
      <c r="A173" s="10" t="s">
        <v>29</v>
      </c>
      <c r="B173" s="28" t="s">
        <v>57</v>
      </c>
      <c r="C173" s="12" t="s">
        <v>247</v>
      </c>
      <c r="D173" s="9" t="n">
        <v>825</v>
      </c>
      <c r="E173" s="9" t="n">
        <v>0</v>
      </c>
      <c r="F173" s="29" t="n">
        <f aca="false">IFERROR(E173/D173*1000,0)</f>
        <v>0</v>
      </c>
      <c r="G173" s="14" t="n">
        <v>0.424</v>
      </c>
      <c r="H173" s="9" t="n">
        <v>1</v>
      </c>
      <c r="I173" s="23" t="n">
        <v>0</v>
      </c>
    </row>
    <row r="174" customFormat="false" ht="44" hidden="false" customHeight="false" outlineLevel="0" collapsed="false">
      <c r="A174" s="10" t="s">
        <v>27</v>
      </c>
      <c r="B174" s="28" t="s">
        <v>153</v>
      </c>
      <c r="C174" s="12" t="s">
        <v>248</v>
      </c>
      <c r="D174" s="9" t="n">
        <v>804</v>
      </c>
      <c r="E174" s="9" t="n">
        <v>0</v>
      </c>
      <c r="F174" s="29" t="n">
        <f aca="false">IFERROR(E174/D174*1000,0)</f>
        <v>0</v>
      </c>
      <c r="G174" s="14" t="n">
        <v>0.3665</v>
      </c>
      <c r="H174" s="9" t="n">
        <v>1</v>
      </c>
      <c r="I174" s="23" t="n">
        <v>0.0303030303030303</v>
      </c>
    </row>
    <row r="175" customFormat="false" ht="29.85" hidden="false" customHeight="false" outlineLevel="0" collapsed="false">
      <c r="A175" s="10" t="s">
        <v>28</v>
      </c>
      <c r="B175" s="28" t="s">
        <v>153</v>
      </c>
      <c r="C175" s="12" t="s">
        <v>249</v>
      </c>
      <c r="D175" s="9" t="n">
        <v>781</v>
      </c>
      <c r="E175" s="9" t="n">
        <v>0</v>
      </c>
      <c r="F175" s="29" t="n">
        <f aca="false">IFERROR(E175/D175*1000,0)</f>
        <v>0</v>
      </c>
      <c r="G175" s="14" t="n">
        <v>0.5369</v>
      </c>
      <c r="H175" s="9" t="n">
        <v>3</v>
      </c>
      <c r="I175" s="23" t="n">
        <v>0.0119047619047619</v>
      </c>
    </row>
    <row r="176" customFormat="false" ht="29.85" hidden="false" customHeight="false" outlineLevel="0" collapsed="false">
      <c r="A176" s="10" t="s">
        <v>27</v>
      </c>
      <c r="B176" s="28" t="s">
        <v>153</v>
      </c>
      <c r="C176" s="12" t="s">
        <v>250</v>
      </c>
      <c r="D176" s="9" t="n">
        <v>779</v>
      </c>
      <c r="E176" s="9" t="n">
        <v>0</v>
      </c>
      <c r="F176" s="29" t="n">
        <f aca="false">IFERROR(E176/D176*1000,0)</f>
        <v>0</v>
      </c>
      <c r="G176" s="14" t="n">
        <v>0.5353</v>
      </c>
      <c r="H176" s="9" t="n">
        <v>4</v>
      </c>
      <c r="I176" s="23" t="n">
        <v>0.0181818181818182</v>
      </c>
    </row>
    <row r="177" customFormat="false" ht="29.85" hidden="false" customHeight="false" outlineLevel="0" collapsed="false">
      <c r="A177" s="10" t="s">
        <v>27</v>
      </c>
      <c r="B177" s="28" t="s">
        <v>97</v>
      </c>
      <c r="C177" s="12" t="s">
        <v>251</v>
      </c>
      <c r="D177" s="9" t="n">
        <v>756</v>
      </c>
      <c r="E177" s="9" t="n">
        <v>0</v>
      </c>
      <c r="F177" s="29" t="n">
        <f aca="false">IFERROR(E177/D177*1000,0)</f>
        <v>0</v>
      </c>
      <c r="G177" s="14" t="n">
        <v>0.4287</v>
      </c>
      <c r="H177" s="9" t="n">
        <v>2</v>
      </c>
      <c r="I177" s="23" t="n">
        <v>0.0357142857142857</v>
      </c>
    </row>
    <row r="178" customFormat="false" ht="29.85" hidden="false" customHeight="false" outlineLevel="0" collapsed="false">
      <c r="A178" s="10" t="s">
        <v>28</v>
      </c>
      <c r="B178" s="28" t="s">
        <v>102</v>
      </c>
      <c r="C178" s="12" t="s">
        <v>252</v>
      </c>
      <c r="D178" s="9" t="n">
        <v>718</v>
      </c>
      <c r="E178" s="9" t="n">
        <v>0</v>
      </c>
      <c r="F178" s="29" t="n">
        <f aca="false">IFERROR(E178/D178*1000,0)</f>
        <v>0</v>
      </c>
      <c r="G178" s="14" t="n">
        <v>0.3906</v>
      </c>
      <c r="H178" s="9" t="n">
        <v>0</v>
      </c>
      <c r="I178" s="23" t="n">
        <v>0</v>
      </c>
    </row>
    <row r="179" customFormat="false" ht="29.85" hidden="false" customHeight="false" outlineLevel="0" collapsed="false">
      <c r="A179" s="10" t="s">
        <v>30</v>
      </c>
      <c r="B179" s="28" t="s">
        <v>146</v>
      </c>
      <c r="C179" s="10" t="s">
        <v>253</v>
      </c>
      <c r="D179" s="9" t="n">
        <v>712</v>
      </c>
      <c r="E179" s="9" t="n">
        <v>0</v>
      </c>
      <c r="F179" s="29" t="n">
        <f aca="false">IFERROR(E179/D179*1000,0)</f>
        <v>0</v>
      </c>
      <c r="G179" s="14" t="n">
        <v>0.2542</v>
      </c>
      <c r="H179" s="9" t="n">
        <v>0</v>
      </c>
      <c r="I179" s="23" t="n">
        <v>0.0105263157894737</v>
      </c>
    </row>
    <row r="180" customFormat="false" ht="15" hidden="false" customHeight="false" outlineLevel="0" collapsed="false">
      <c r="A180" s="10" t="s">
        <v>27</v>
      </c>
      <c r="B180" s="28" t="s">
        <v>57</v>
      </c>
      <c r="C180" s="12" t="s">
        <v>254</v>
      </c>
      <c r="D180" s="9" t="n">
        <v>707</v>
      </c>
      <c r="E180" s="9" t="n">
        <v>0</v>
      </c>
      <c r="F180" s="29" t="n">
        <f aca="false">IFERROR(E180/D180*1000,0)</f>
        <v>0</v>
      </c>
      <c r="G180" s="14" t="n">
        <v>0.3851</v>
      </c>
      <c r="H180" s="9" t="n">
        <v>3</v>
      </c>
      <c r="I180" s="23" t="n">
        <v>0.05</v>
      </c>
    </row>
    <row r="181" customFormat="false" ht="15" hidden="false" customHeight="false" outlineLevel="0" collapsed="false">
      <c r="A181" s="10" t="s">
        <v>29</v>
      </c>
      <c r="B181" s="28" t="s">
        <v>88</v>
      </c>
      <c r="C181" s="12" t="s">
        <v>255</v>
      </c>
      <c r="D181" s="9" t="n">
        <v>702</v>
      </c>
      <c r="E181" s="9" t="n">
        <v>0</v>
      </c>
      <c r="F181" s="29" t="n">
        <f aca="false">IFERROR(E181/D181*1000,0)</f>
        <v>0</v>
      </c>
      <c r="G181" s="14" t="n">
        <v>0.5542</v>
      </c>
      <c r="H181" s="9" t="n">
        <v>1</v>
      </c>
      <c r="I181" s="23" t="n">
        <v>0.0303030303030303</v>
      </c>
    </row>
    <row r="182" customFormat="false" ht="29.85" hidden="false" customHeight="false" outlineLevel="0" collapsed="false">
      <c r="A182" s="10" t="s">
        <v>31</v>
      </c>
      <c r="B182" s="28" t="s">
        <v>91</v>
      </c>
      <c r="C182" s="10" t="s">
        <v>256</v>
      </c>
      <c r="D182" s="9" t="n">
        <v>663</v>
      </c>
      <c r="E182" s="9" t="n">
        <v>0</v>
      </c>
      <c r="F182" s="29" t="n">
        <f aca="false">IFERROR(E182/D182*1000,0)</f>
        <v>0</v>
      </c>
      <c r="G182" s="14" t="n">
        <v>0.5497</v>
      </c>
      <c r="H182" s="9" t="n">
        <v>0</v>
      </c>
      <c r="I182" s="23" t="n">
        <v>0.0194174757281553</v>
      </c>
    </row>
    <row r="183" customFormat="false" ht="29.85" hidden="false" customHeight="false" outlineLevel="0" collapsed="false">
      <c r="A183" s="10" t="s">
        <v>27</v>
      </c>
      <c r="B183" s="28" t="s">
        <v>104</v>
      </c>
      <c r="C183" s="12" t="s">
        <v>257</v>
      </c>
      <c r="D183" s="9" t="n">
        <v>631</v>
      </c>
      <c r="E183" s="9" t="n">
        <v>0</v>
      </c>
      <c r="F183" s="29" t="n">
        <f aca="false">IFERROR(E183/D183*1000,0)</f>
        <v>0</v>
      </c>
      <c r="G183" s="14" t="n">
        <v>0.4345</v>
      </c>
      <c r="H183" s="9" t="n">
        <v>1</v>
      </c>
      <c r="I183" s="23" t="n">
        <v>0</v>
      </c>
    </row>
    <row r="184" customFormat="false" ht="15" hidden="false" customHeight="false" outlineLevel="0" collapsed="false">
      <c r="A184" s="10" t="s">
        <v>28</v>
      </c>
      <c r="B184" s="28" t="s">
        <v>60</v>
      </c>
      <c r="C184" s="12" t="s">
        <v>258</v>
      </c>
      <c r="D184" s="9" t="n">
        <v>623</v>
      </c>
      <c r="E184" s="9" t="n">
        <v>0</v>
      </c>
      <c r="F184" s="29" t="n">
        <f aca="false">IFERROR(E184/D184*1000,0)</f>
        <v>0</v>
      </c>
      <c r="G184" s="14" t="n">
        <v>0.4901</v>
      </c>
      <c r="H184" s="9" t="n">
        <v>1</v>
      </c>
      <c r="I184" s="23" t="n">
        <v>0</v>
      </c>
    </row>
    <row r="185" customFormat="false" ht="15" hidden="false" customHeight="false" outlineLevel="0" collapsed="false">
      <c r="A185" s="10" t="s">
        <v>31</v>
      </c>
      <c r="B185" s="28" t="s">
        <v>73</v>
      </c>
      <c r="C185" s="10" t="s">
        <v>259</v>
      </c>
      <c r="D185" s="9" t="n">
        <v>612</v>
      </c>
      <c r="E185" s="9" t="n">
        <v>0</v>
      </c>
      <c r="F185" s="29" t="n">
        <f aca="false">IFERROR(E185/D185*1000,0)</f>
        <v>0</v>
      </c>
      <c r="G185" s="14" t="n">
        <v>0.284</v>
      </c>
      <c r="H185" s="9" t="n">
        <v>2</v>
      </c>
      <c r="I185" s="23" t="n">
        <v>0</v>
      </c>
    </row>
    <row r="186" customFormat="false" ht="15" hidden="false" customHeight="false" outlineLevel="0" collapsed="false">
      <c r="A186" s="10" t="s">
        <v>29</v>
      </c>
      <c r="B186" s="28" t="s">
        <v>53</v>
      </c>
      <c r="C186" s="12" t="s">
        <v>260</v>
      </c>
      <c r="D186" s="9" t="n">
        <v>589</v>
      </c>
      <c r="E186" s="9" t="n">
        <v>0</v>
      </c>
      <c r="F186" s="29" t="n">
        <f aca="false">IFERROR(E186/D186*1000,0)</f>
        <v>0</v>
      </c>
      <c r="G186" s="14" t="n">
        <v>0.2448</v>
      </c>
      <c r="H186" s="9" t="n">
        <v>1</v>
      </c>
      <c r="I186" s="23" t="n">
        <v>0.0178571428571429</v>
      </c>
    </row>
    <row r="187" customFormat="false" ht="29.85" hidden="false" customHeight="false" outlineLevel="0" collapsed="false">
      <c r="A187" s="10" t="s">
        <v>31</v>
      </c>
      <c r="B187" s="28" t="s">
        <v>55</v>
      </c>
      <c r="C187" s="10" t="s">
        <v>261</v>
      </c>
      <c r="D187" s="9" t="n">
        <v>514</v>
      </c>
      <c r="E187" s="9" t="n">
        <v>0</v>
      </c>
      <c r="F187" s="29" t="n">
        <f aca="false">IFERROR(E187/D187*1000,0)</f>
        <v>0</v>
      </c>
      <c r="G187" s="14" t="n">
        <v>0.3235</v>
      </c>
      <c r="H187" s="9" t="n">
        <v>2</v>
      </c>
      <c r="I187" s="23" t="n">
        <v>0.0136986301369863</v>
      </c>
    </row>
    <row r="188" customFormat="false" ht="29.85" hidden="false" customHeight="false" outlineLevel="0" collapsed="false">
      <c r="A188" s="10" t="s">
        <v>27</v>
      </c>
      <c r="B188" s="28" t="s">
        <v>73</v>
      </c>
      <c r="C188" s="10" t="s">
        <v>262</v>
      </c>
      <c r="D188" s="9" t="n">
        <v>481</v>
      </c>
      <c r="E188" s="9" t="n">
        <v>0</v>
      </c>
      <c r="F188" s="29" t="n">
        <f aca="false">IFERROR(E188/D188*1000,0)</f>
        <v>0</v>
      </c>
      <c r="G188" s="14" t="n">
        <v>0.2949</v>
      </c>
      <c r="H188" s="9" t="n">
        <v>1</v>
      </c>
      <c r="I188" s="23" t="n">
        <v>0</v>
      </c>
    </row>
    <row r="189" customFormat="false" ht="29.85" hidden="false" customHeight="false" outlineLevel="0" collapsed="false">
      <c r="A189" s="10" t="s">
        <v>28</v>
      </c>
      <c r="B189" s="28" t="s">
        <v>146</v>
      </c>
      <c r="C189" s="12" t="s">
        <v>263</v>
      </c>
      <c r="D189" s="9" t="n">
        <v>396</v>
      </c>
      <c r="E189" s="9" t="n">
        <v>0</v>
      </c>
      <c r="F189" s="29" t="n">
        <f aca="false">IFERROR(E189/D189*1000,0)</f>
        <v>0</v>
      </c>
      <c r="G189" s="14" t="n">
        <v>0.262</v>
      </c>
      <c r="H189" s="9" t="n">
        <v>3</v>
      </c>
      <c r="I189" s="23" t="n">
        <v>0.0125714285714286</v>
      </c>
    </row>
    <row r="190" customFormat="false" ht="29.85" hidden="false" customHeight="false" outlineLevel="0" collapsed="false">
      <c r="A190" s="10" t="s">
        <v>27</v>
      </c>
      <c r="B190" s="28" t="s">
        <v>104</v>
      </c>
      <c r="C190" s="12" t="s">
        <v>264</v>
      </c>
      <c r="D190" s="9" t="n">
        <v>374</v>
      </c>
      <c r="E190" s="9" t="n">
        <v>0</v>
      </c>
      <c r="F190" s="29" t="n">
        <f aca="false">IFERROR(E190/D190*1000,0)</f>
        <v>0</v>
      </c>
      <c r="G190" s="14" t="n">
        <v>0.5366</v>
      </c>
      <c r="H190" s="9" t="n">
        <v>2</v>
      </c>
      <c r="I190" s="23" t="n">
        <v>0</v>
      </c>
    </row>
    <row r="191" customFormat="false" ht="29.85" hidden="false" customHeight="false" outlineLevel="0" collapsed="false">
      <c r="A191" s="10" t="s">
        <v>31</v>
      </c>
      <c r="B191" s="28" t="s">
        <v>53</v>
      </c>
      <c r="C191" s="10" t="s">
        <v>265</v>
      </c>
      <c r="D191" s="9" t="n">
        <v>371</v>
      </c>
      <c r="E191" s="9" t="n">
        <v>0</v>
      </c>
      <c r="F191" s="29" t="n">
        <f aca="false">IFERROR(E191/D191*1000,0)</f>
        <v>0</v>
      </c>
      <c r="G191" s="14" t="n">
        <v>0.3952</v>
      </c>
      <c r="H191" s="9" t="n">
        <v>4</v>
      </c>
      <c r="I191" s="23" t="n">
        <v>0.00840336134453782</v>
      </c>
    </row>
    <row r="192" customFormat="false" ht="15" hidden="false" customHeight="false" outlineLevel="0" collapsed="false">
      <c r="A192" s="10" t="s">
        <v>31</v>
      </c>
      <c r="B192" s="28" t="s">
        <v>146</v>
      </c>
      <c r="C192" s="12" t="s">
        <v>266</v>
      </c>
      <c r="D192" s="9" t="n">
        <v>361</v>
      </c>
      <c r="E192" s="9" t="n">
        <v>0</v>
      </c>
      <c r="F192" s="29" t="n">
        <f aca="false">IFERROR(E192/D192*1000,0)</f>
        <v>0</v>
      </c>
      <c r="G192" s="14" t="n">
        <v>0.3301</v>
      </c>
      <c r="H192" s="9" t="n">
        <v>3</v>
      </c>
      <c r="I192" s="23" t="n">
        <v>0</v>
      </c>
    </row>
    <row r="193" customFormat="false" ht="29.85" hidden="false" customHeight="false" outlineLevel="0" collapsed="false">
      <c r="A193" s="10" t="s">
        <v>30</v>
      </c>
      <c r="B193" s="28" t="s">
        <v>128</v>
      </c>
      <c r="C193" s="10" t="s">
        <v>267</v>
      </c>
      <c r="D193" s="9" t="n">
        <v>346</v>
      </c>
      <c r="E193" s="9" t="n">
        <v>0</v>
      </c>
      <c r="F193" s="29" t="n">
        <f aca="false">IFERROR(E193/D193*1000,0)</f>
        <v>0</v>
      </c>
      <c r="G193" s="14" t="n">
        <v>0.2828</v>
      </c>
      <c r="H193" s="9" t="n">
        <v>2</v>
      </c>
      <c r="I193" s="23" t="n">
        <v>0.0350877192982456</v>
      </c>
    </row>
    <row r="194" customFormat="false" ht="29.85" hidden="false" customHeight="false" outlineLevel="0" collapsed="false">
      <c r="A194" s="10" t="s">
        <v>30</v>
      </c>
      <c r="B194" s="28" t="s">
        <v>79</v>
      </c>
      <c r="C194" s="10" t="s">
        <v>268</v>
      </c>
      <c r="D194" s="9" t="n">
        <v>322</v>
      </c>
      <c r="E194" s="9" t="n">
        <v>0</v>
      </c>
      <c r="F194" s="29" t="n">
        <f aca="false">IFERROR(E194/D194*1000,0)</f>
        <v>0</v>
      </c>
      <c r="G194" s="14" t="n">
        <v>0.3094</v>
      </c>
      <c r="H194" s="9" t="n">
        <v>0</v>
      </c>
      <c r="I194" s="23" t="n">
        <v>0.0163934426229508</v>
      </c>
    </row>
    <row r="195" customFormat="false" ht="15" hidden="false" customHeight="false" outlineLevel="0" collapsed="false">
      <c r="A195" s="10" t="s">
        <v>28</v>
      </c>
      <c r="B195" s="28" t="s">
        <v>57</v>
      </c>
      <c r="C195" s="10" t="s">
        <v>269</v>
      </c>
      <c r="D195" s="9" t="n">
        <v>263</v>
      </c>
      <c r="E195" s="9" t="n">
        <v>0</v>
      </c>
      <c r="F195" s="29" t="n">
        <f aca="false">IFERROR(E195/D195*1000,0)</f>
        <v>0</v>
      </c>
      <c r="G195" s="14" t="n">
        <v>0.4286</v>
      </c>
      <c r="H195" s="9" t="n">
        <v>0</v>
      </c>
      <c r="I195" s="23" t="n">
        <v>0</v>
      </c>
    </row>
    <row r="196" customFormat="false" ht="15" hidden="false" customHeight="false" outlineLevel="0" collapsed="false">
      <c r="A196" s="10" t="s">
        <v>31</v>
      </c>
      <c r="B196" s="28" t="s">
        <v>73</v>
      </c>
      <c r="C196" s="12" t="s">
        <v>270</v>
      </c>
      <c r="D196" s="9" t="n">
        <v>261</v>
      </c>
      <c r="E196" s="9" t="n">
        <v>0</v>
      </c>
      <c r="F196" s="29" t="n">
        <f aca="false">IFERROR(E196/D196*1000,0)</f>
        <v>0</v>
      </c>
      <c r="G196" s="14" t="n">
        <v>0.2428</v>
      </c>
      <c r="H196" s="9" t="n">
        <v>0</v>
      </c>
      <c r="I196" s="23" t="n">
        <v>0.0157894736842105</v>
      </c>
    </row>
    <row r="197" customFormat="false" ht="15" hidden="false" customHeight="false" outlineLevel="0" collapsed="false">
      <c r="A197" s="10" t="s">
        <v>28</v>
      </c>
      <c r="B197" s="28" t="s">
        <v>91</v>
      </c>
      <c r="C197" s="12" t="s">
        <v>271</v>
      </c>
      <c r="D197" s="9" t="n">
        <v>255</v>
      </c>
      <c r="E197" s="9" t="n">
        <v>0</v>
      </c>
      <c r="F197" s="29" t="n">
        <f aca="false">IFERROR(E197/D197*1000,0)</f>
        <v>0</v>
      </c>
      <c r="G197" s="14" t="n">
        <v>0.3793</v>
      </c>
      <c r="H197" s="9" t="n">
        <v>0</v>
      </c>
      <c r="I197" s="23" t="n">
        <v>0.0125944584382872</v>
      </c>
    </row>
    <row r="198" customFormat="false" ht="15" hidden="false" customHeight="false" outlineLevel="0" collapsed="false">
      <c r="A198" s="10" t="s">
        <v>28</v>
      </c>
      <c r="B198" s="28" t="s">
        <v>75</v>
      </c>
      <c r="C198" s="10" t="s">
        <v>272</v>
      </c>
      <c r="D198" s="9" t="n">
        <v>252</v>
      </c>
      <c r="E198" s="9" t="n">
        <v>0</v>
      </c>
      <c r="F198" s="29" t="n">
        <f aca="false">IFERROR(E198/D198*1000,0)</f>
        <v>0</v>
      </c>
      <c r="G198" s="14" t="n">
        <v>0.2947</v>
      </c>
      <c r="H198" s="9" t="n">
        <v>0</v>
      </c>
      <c r="I198" s="23" t="n">
        <v>0</v>
      </c>
    </row>
    <row r="199" customFormat="false" ht="29.85" hidden="false" customHeight="false" outlineLevel="0" collapsed="false">
      <c r="A199" s="10" t="s">
        <v>29</v>
      </c>
      <c r="B199" s="28" t="s">
        <v>106</v>
      </c>
      <c r="C199" s="12" t="s">
        <v>273</v>
      </c>
      <c r="D199" s="9" t="n">
        <v>249</v>
      </c>
      <c r="E199" s="9" t="n">
        <v>0</v>
      </c>
      <c r="F199" s="29" t="n">
        <f aca="false">IFERROR(E199/D199*1000,0)</f>
        <v>0</v>
      </c>
      <c r="G199" s="14" t="n">
        <v>0.3493</v>
      </c>
      <c r="H199" s="9" t="n">
        <v>0</v>
      </c>
      <c r="I199" s="23" t="n">
        <v>0</v>
      </c>
    </row>
    <row r="200" customFormat="false" ht="29.85" hidden="false" customHeight="false" outlineLevel="0" collapsed="false">
      <c r="A200" s="10" t="s">
        <v>30</v>
      </c>
      <c r="B200" s="28" t="s">
        <v>57</v>
      </c>
      <c r="C200" s="12" t="s">
        <v>274</v>
      </c>
      <c r="D200" s="9" t="n">
        <v>247</v>
      </c>
      <c r="E200" s="9" t="n">
        <v>0</v>
      </c>
      <c r="F200" s="29" t="n">
        <f aca="false">IFERROR(E200/D200*1000,0)</f>
        <v>0</v>
      </c>
      <c r="G200" s="14" t="n">
        <v>0.4665</v>
      </c>
      <c r="H200" s="9" t="n">
        <v>0</v>
      </c>
      <c r="I200" s="23" t="n">
        <v>0</v>
      </c>
    </row>
    <row r="201" customFormat="false" ht="15" hidden="false" customHeight="false" outlineLevel="0" collapsed="false">
      <c r="A201" s="10" t="s">
        <v>29</v>
      </c>
      <c r="B201" s="28" t="s">
        <v>57</v>
      </c>
      <c r="C201" s="12" t="s">
        <v>275</v>
      </c>
      <c r="D201" s="9" t="n">
        <v>242</v>
      </c>
      <c r="E201" s="9" t="n">
        <v>0</v>
      </c>
      <c r="F201" s="29" t="n">
        <f aca="false">IFERROR(E201/D201*1000,0)</f>
        <v>0</v>
      </c>
      <c r="G201" s="14" t="n">
        <v>0.3231</v>
      </c>
      <c r="H201" s="9" t="n">
        <v>0</v>
      </c>
      <c r="I201" s="23" t="n">
        <v>0</v>
      </c>
    </row>
    <row r="202" customFormat="false" ht="29.85" hidden="false" customHeight="false" outlineLevel="0" collapsed="false">
      <c r="A202" s="10" t="s">
        <v>32</v>
      </c>
      <c r="B202" s="28" t="s">
        <v>75</v>
      </c>
      <c r="C202" s="12" t="s">
        <v>276</v>
      </c>
      <c r="D202" s="9" t="n">
        <v>241</v>
      </c>
      <c r="E202" s="9" t="n">
        <v>0</v>
      </c>
      <c r="F202" s="29" t="n">
        <f aca="false">IFERROR(E202/D202*1000,0)</f>
        <v>0</v>
      </c>
      <c r="G202" s="14" t="n">
        <v>0.3686</v>
      </c>
      <c r="H202" s="9" t="n">
        <v>0</v>
      </c>
      <c r="I202" s="23" t="n">
        <v>0.056</v>
      </c>
    </row>
    <row r="203" customFormat="false" ht="29.85" hidden="false" customHeight="false" outlineLevel="0" collapsed="false">
      <c r="A203" s="10" t="s">
        <v>27</v>
      </c>
      <c r="B203" s="28" t="s">
        <v>65</v>
      </c>
      <c r="C203" s="12" t="s">
        <v>277</v>
      </c>
      <c r="D203" s="9" t="n">
        <v>216</v>
      </c>
      <c r="E203" s="9" t="n">
        <v>0</v>
      </c>
      <c r="F203" s="29" t="n">
        <f aca="false">IFERROR(E203/D203*1000,0)</f>
        <v>0</v>
      </c>
      <c r="G203" s="14" t="n">
        <v>0.5599</v>
      </c>
      <c r="H203" s="9" t="n">
        <v>0</v>
      </c>
      <c r="I203" s="23" t="n">
        <v>0</v>
      </c>
    </row>
    <row r="204" customFormat="false" ht="15" hidden="false" customHeight="false" outlineLevel="0" collapsed="false">
      <c r="A204" s="10" t="s">
        <v>31</v>
      </c>
      <c r="B204" s="28" t="s">
        <v>83</v>
      </c>
      <c r="C204" s="12" t="s">
        <v>278</v>
      </c>
      <c r="D204" s="9" t="n">
        <v>201</v>
      </c>
      <c r="E204" s="9" t="n">
        <v>0</v>
      </c>
      <c r="F204" s="29" t="n">
        <f aca="false">IFERROR(E204/D204*1000,0)</f>
        <v>0</v>
      </c>
      <c r="G204" s="14" t="n">
        <v>0.4455</v>
      </c>
      <c r="H204" s="9" t="n">
        <v>0</v>
      </c>
      <c r="I204" s="23" t="n">
        <v>0.0196078431372549</v>
      </c>
    </row>
    <row r="205" customFormat="false" ht="15" hidden="false" customHeight="false" outlineLevel="0" collapsed="false">
      <c r="A205" s="10" t="s">
        <v>29</v>
      </c>
      <c r="B205" s="28" t="s">
        <v>75</v>
      </c>
      <c r="C205" s="12" t="s">
        <v>279</v>
      </c>
      <c r="D205" s="9" t="n">
        <v>190</v>
      </c>
      <c r="E205" s="9" t="n">
        <v>0</v>
      </c>
      <c r="F205" s="29" t="n">
        <f aca="false">IFERROR(E205/D205*1000,0)</f>
        <v>0</v>
      </c>
      <c r="G205" s="14" t="n">
        <v>0.2839</v>
      </c>
      <c r="H205" s="9" t="n">
        <v>0</v>
      </c>
      <c r="I205" s="23" t="n">
        <v>0</v>
      </c>
    </row>
    <row r="206" customFormat="false" ht="15" hidden="false" customHeight="false" outlineLevel="0" collapsed="false">
      <c r="A206" s="10" t="s">
        <v>30</v>
      </c>
      <c r="B206" s="28" t="s">
        <v>57</v>
      </c>
      <c r="C206" s="12" t="s">
        <v>280</v>
      </c>
      <c r="D206" s="9" t="n">
        <v>189</v>
      </c>
      <c r="E206" s="9" t="n">
        <v>0</v>
      </c>
      <c r="F206" s="29" t="n">
        <f aca="false">IFERROR(E206/D206*1000,0)</f>
        <v>0</v>
      </c>
      <c r="G206" s="14" t="n">
        <v>0.3922</v>
      </c>
      <c r="H206" s="9" t="n">
        <v>0</v>
      </c>
      <c r="I206" s="23" t="n">
        <v>0</v>
      </c>
    </row>
    <row r="207" customFormat="false" ht="15" hidden="false" customHeight="false" outlineLevel="0" collapsed="false">
      <c r="A207" s="10" t="s">
        <v>31</v>
      </c>
      <c r="B207" s="28" t="s">
        <v>57</v>
      </c>
      <c r="C207" s="12" t="s">
        <v>281</v>
      </c>
      <c r="D207" s="9" t="n">
        <v>186</v>
      </c>
      <c r="E207" s="9" t="n">
        <v>0</v>
      </c>
      <c r="F207" s="29" t="n">
        <f aca="false">IFERROR(E207/D207*1000,0)</f>
        <v>0</v>
      </c>
      <c r="G207" s="14" t="n">
        <v>0.3128</v>
      </c>
      <c r="H207" s="9" t="n">
        <v>0</v>
      </c>
      <c r="I207" s="23" t="n">
        <v>0.00769230769230769</v>
      </c>
    </row>
    <row r="208" customFormat="false" ht="29.85" hidden="false" customHeight="false" outlineLevel="0" collapsed="false">
      <c r="A208" s="10" t="s">
        <v>30</v>
      </c>
      <c r="B208" s="28" t="s">
        <v>86</v>
      </c>
      <c r="C208" s="10" t="s">
        <v>282</v>
      </c>
      <c r="D208" s="9" t="n">
        <v>163</v>
      </c>
      <c r="E208" s="9" t="n">
        <v>0</v>
      </c>
      <c r="F208" s="29" t="n">
        <f aca="false">IFERROR(E208/D208*1000,0)</f>
        <v>0</v>
      </c>
      <c r="G208" s="14" t="n">
        <v>0.2162</v>
      </c>
      <c r="H208" s="9" t="n">
        <v>0</v>
      </c>
      <c r="I208" s="23" t="n">
        <v>0</v>
      </c>
    </row>
    <row r="209" customFormat="false" ht="29.85" hidden="false" customHeight="false" outlineLevel="0" collapsed="false">
      <c r="A209" s="10" t="s">
        <v>31</v>
      </c>
      <c r="B209" s="28" t="s">
        <v>86</v>
      </c>
      <c r="C209" s="10" t="s">
        <v>283</v>
      </c>
      <c r="D209" s="9" t="n">
        <v>155</v>
      </c>
      <c r="E209" s="9" t="n">
        <v>0</v>
      </c>
      <c r="F209" s="29" t="n">
        <f aca="false">IFERROR(E209/D209*1000,0)</f>
        <v>0</v>
      </c>
      <c r="G209" s="14" t="n">
        <v>0.462</v>
      </c>
      <c r="H209" s="9" t="n">
        <v>0</v>
      </c>
      <c r="I209" s="23" t="n">
        <v>0.012987012987013</v>
      </c>
    </row>
    <row r="210" customFormat="false" ht="29.85" hidden="false" customHeight="false" outlineLevel="0" collapsed="false">
      <c r="A210" s="10" t="s">
        <v>31</v>
      </c>
      <c r="B210" s="28" t="s">
        <v>100</v>
      </c>
      <c r="C210" s="10" t="s">
        <v>284</v>
      </c>
      <c r="D210" s="9" t="n">
        <v>137</v>
      </c>
      <c r="E210" s="9" t="n">
        <v>0</v>
      </c>
      <c r="F210" s="29" t="n">
        <f aca="false">IFERROR(E210/D210*1000,0)</f>
        <v>0</v>
      </c>
      <c r="G210" s="14" t="n">
        <v>0.1587</v>
      </c>
      <c r="H210" s="9" t="n">
        <v>0</v>
      </c>
      <c r="I210" s="23" t="n">
        <v>0.015625</v>
      </c>
    </row>
    <row r="211" customFormat="false" ht="29.85" hidden="false" customHeight="false" outlineLevel="0" collapsed="false">
      <c r="A211" s="10" t="s">
        <v>31</v>
      </c>
      <c r="B211" s="28" t="s">
        <v>51</v>
      </c>
      <c r="C211" s="10" t="s">
        <v>285</v>
      </c>
      <c r="D211" s="9" t="n">
        <v>126</v>
      </c>
      <c r="E211" s="9" t="n">
        <v>0</v>
      </c>
      <c r="F211" s="29" t="n">
        <f aca="false">IFERROR(E211/D211*1000,0)</f>
        <v>0</v>
      </c>
      <c r="G211" s="14" t="n">
        <v>0.2128</v>
      </c>
      <c r="H211" s="9" t="n">
        <v>0</v>
      </c>
      <c r="I211" s="23" t="n">
        <v>0.0344827586206897</v>
      </c>
    </row>
    <row r="212" customFormat="false" ht="29.85" hidden="false" customHeight="false" outlineLevel="0" collapsed="false">
      <c r="A212" s="10" t="s">
        <v>28</v>
      </c>
      <c r="B212" s="28" t="s">
        <v>86</v>
      </c>
      <c r="C212" s="12" t="s">
        <v>286</v>
      </c>
      <c r="D212" s="9" t="n">
        <v>116</v>
      </c>
      <c r="E212" s="9" t="n">
        <v>0</v>
      </c>
      <c r="F212" s="29" t="n">
        <f aca="false">IFERROR(E212/D212*1000,0)</f>
        <v>0</v>
      </c>
      <c r="G212" s="14" t="n">
        <v>0.2409</v>
      </c>
      <c r="H212" s="9" t="n">
        <v>0</v>
      </c>
      <c r="I212" s="23" t="n">
        <v>0.0114566284779051</v>
      </c>
    </row>
    <row r="213" customFormat="false" ht="29.85" hidden="false" customHeight="false" outlineLevel="0" collapsed="false">
      <c r="A213" s="10" t="s">
        <v>28</v>
      </c>
      <c r="B213" s="28" t="s">
        <v>100</v>
      </c>
      <c r="C213" s="12" t="s">
        <v>287</v>
      </c>
      <c r="D213" s="9" t="n">
        <v>79</v>
      </c>
      <c r="E213" s="9" t="n">
        <v>0</v>
      </c>
      <c r="F213" s="29" t="n">
        <f aca="false">IFERROR(E213/D213*1000,0)</f>
        <v>0</v>
      </c>
      <c r="G213" s="14" t="n">
        <v>0.1923</v>
      </c>
      <c r="H213" s="9" t="n">
        <v>0</v>
      </c>
      <c r="I213" s="23" t="n">
        <v>0.00602409638554217</v>
      </c>
    </row>
    <row r="214" customFormat="false" ht="44" hidden="false" customHeight="false" outlineLevel="0" collapsed="false">
      <c r="A214" s="10" t="s">
        <v>28</v>
      </c>
      <c r="B214" s="28" t="s">
        <v>153</v>
      </c>
      <c r="C214" s="12" t="s">
        <v>288</v>
      </c>
      <c r="D214" s="9" t="n">
        <v>77</v>
      </c>
      <c r="E214" s="9" t="n">
        <v>0</v>
      </c>
      <c r="F214" s="29" t="n">
        <f aca="false">IFERROR(E214/D214*1000,0)</f>
        <v>0</v>
      </c>
      <c r="G214" s="14" t="n">
        <v>0.5565</v>
      </c>
      <c r="H214" s="9" t="n">
        <v>0</v>
      </c>
      <c r="I214" s="23" t="n">
        <v>0.0177304964539007</v>
      </c>
    </row>
    <row r="215" customFormat="false" ht="29.85" hidden="false" customHeight="false" outlineLevel="0" collapsed="false">
      <c r="A215" s="10" t="s">
        <v>28</v>
      </c>
      <c r="B215" s="28" t="s">
        <v>53</v>
      </c>
      <c r="C215" s="12" t="s">
        <v>289</v>
      </c>
      <c r="D215" s="9" t="n">
        <v>75</v>
      </c>
      <c r="E215" s="9" t="n">
        <v>0</v>
      </c>
      <c r="F215" s="29" t="n">
        <f aca="false">IFERROR(E215/D215*1000,0)</f>
        <v>0</v>
      </c>
      <c r="G215" s="14" t="n">
        <v>0.2135</v>
      </c>
      <c r="H215" s="9" t="n">
        <v>0</v>
      </c>
      <c r="I215" s="23" t="n">
        <v>0.0182767624020888</v>
      </c>
    </row>
    <row r="216" customFormat="false" ht="29.85" hidden="false" customHeight="false" outlineLevel="0" collapsed="false">
      <c r="A216" s="10" t="s">
        <v>28</v>
      </c>
      <c r="B216" s="28" t="s">
        <v>73</v>
      </c>
      <c r="C216" s="12" t="s">
        <v>290</v>
      </c>
      <c r="D216" s="9" t="n">
        <v>62</v>
      </c>
      <c r="E216" s="9" t="n">
        <v>0</v>
      </c>
      <c r="F216" s="29" t="n">
        <f aca="false">IFERROR(E216/D216*1000,0)</f>
        <v>0</v>
      </c>
      <c r="G216" s="14" t="n">
        <v>0.264</v>
      </c>
      <c r="H216" s="9" t="n">
        <v>0</v>
      </c>
      <c r="I216" s="23" t="n">
        <v>0.0118110236220472</v>
      </c>
    </row>
    <row r="217" customFormat="false" ht="15" hidden="false" customHeight="false" outlineLevel="0" collapsed="false">
      <c r="A217" s="10" t="s">
        <v>32</v>
      </c>
      <c r="B217" s="28" t="s">
        <v>73</v>
      </c>
      <c r="C217" s="12" t="s">
        <v>291</v>
      </c>
      <c r="D217" s="9" t="n">
        <v>42</v>
      </c>
      <c r="E217" s="9" t="n">
        <v>0</v>
      </c>
      <c r="F217" s="29" t="n">
        <f aca="false">IFERROR(E217/D217*1000,0)</f>
        <v>0</v>
      </c>
      <c r="G217" s="14" t="n">
        <v>0.5116</v>
      </c>
      <c r="H217" s="9" t="n">
        <v>0</v>
      </c>
      <c r="I217" s="23" t="n">
        <v>0.0469314079422383</v>
      </c>
    </row>
    <row r="218" customFormat="false" ht="15" hidden="false" customHeight="false" outlineLevel="0" collapsed="false">
      <c r="A218" s="10" t="s">
        <v>32</v>
      </c>
      <c r="B218" s="28" t="s">
        <v>88</v>
      </c>
      <c r="C218" s="12" t="s">
        <v>292</v>
      </c>
      <c r="D218" s="9" t="n">
        <v>40</v>
      </c>
      <c r="E218" s="9" t="n">
        <v>0</v>
      </c>
      <c r="F218" s="29" t="n">
        <f aca="false">IFERROR(E218/D218*1000,0)</f>
        <v>0</v>
      </c>
      <c r="G218" s="14" t="n">
        <v>0.3714</v>
      </c>
      <c r="H218" s="9" t="n">
        <v>0</v>
      </c>
      <c r="I218" s="23" t="n">
        <v>0.037914691943128</v>
      </c>
    </row>
    <row r="219" customFormat="false" ht="29.85" hidden="false" customHeight="false" outlineLevel="0" collapsed="false">
      <c r="A219" s="10" t="s">
        <v>27</v>
      </c>
      <c r="B219" s="28" t="s">
        <v>79</v>
      </c>
      <c r="C219" s="10" t="s">
        <v>293</v>
      </c>
      <c r="D219" s="9" t="n">
        <v>12</v>
      </c>
      <c r="E219" s="9" t="n">
        <v>0</v>
      </c>
      <c r="F219" s="29" t="n">
        <f aca="false">IFERROR(E219/D219*1000,0)</f>
        <v>0</v>
      </c>
      <c r="G219" s="14" t="n">
        <v>0.2843</v>
      </c>
      <c r="H219" s="9" t="n">
        <v>2</v>
      </c>
      <c r="I219" s="23" t="n">
        <v>0.0103092783505155</v>
      </c>
    </row>
    <row r="220" customFormat="false" ht="15" hidden="false" customHeight="false" outlineLevel="0" collapsed="false">
      <c r="A220" s="10" t="s">
        <v>32</v>
      </c>
      <c r="B220" s="28" t="s">
        <v>106</v>
      </c>
      <c r="C220" s="10" t="s">
        <v>294</v>
      </c>
      <c r="D220" s="9" t="n">
        <v>10</v>
      </c>
      <c r="E220" s="9" t="n">
        <v>0</v>
      </c>
      <c r="F220" s="29" t="n">
        <f aca="false">IFERROR(E220/D220*1000,0)</f>
        <v>0</v>
      </c>
      <c r="G220" s="14" t="n">
        <v>0.6141</v>
      </c>
      <c r="H220" s="9" t="n">
        <v>0</v>
      </c>
      <c r="I220" s="23" t="n">
        <v>0.0512820512820513</v>
      </c>
    </row>
    <row r="221" customFormat="false" ht="15" hidden="false" customHeight="false" outlineLevel="0" collapsed="false">
      <c r="A221" s="10" t="s">
        <v>29</v>
      </c>
      <c r="B221" s="28" t="s">
        <v>104</v>
      </c>
      <c r="C221" s="12" t="s">
        <v>295</v>
      </c>
      <c r="D221" s="9" t="n">
        <v>2</v>
      </c>
      <c r="E221" s="9" t="n">
        <v>0</v>
      </c>
      <c r="F221" s="29" t="n">
        <f aca="false">IFERROR(E221/D221*1000,0)</f>
        <v>0</v>
      </c>
      <c r="G221" s="14" t="n">
        <v>0.3383</v>
      </c>
      <c r="H221" s="9" t="n">
        <v>0</v>
      </c>
      <c r="I221" s="23" t="n">
        <v>0</v>
      </c>
    </row>
    <row r="222" customFormat="false" ht="15" hidden="false" customHeight="false" outlineLevel="0" collapsed="false">
      <c r="A222" s="10" t="s">
        <v>29</v>
      </c>
      <c r="B222" s="28" t="s">
        <v>104</v>
      </c>
      <c r="C222" s="12" t="s">
        <v>296</v>
      </c>
      <c r="D222" s="9" t="n">
        <v>1</v>
      </c>
      <c r="E222" s="9" t="n">
        <v>0</v>
      </c>
      <c r="F222" s="29" t="n">
        <f aca="false">IFERROR(E222/D222*1000,0)</f>
        <v>0</v>
      </c>
      <c r="G222" s="14" t="n">
        <v>0.808</v>
      </c>
      <c r="H222" s="9" t="n">
        <v>0</v>
      </c>
      <c r="I222" s="23" t="n">
        <v>0</v>
      </c>
    </row>
    <row r="223" customFormat="false" ht="29.85" hidden="false" customHeight="false" outlineLevel="0" collapsed="false">
      <c r="A223" s="10" t="s">
        <v>29</v>
      </c>
      <c r="B223" s="28" t="s">
        <v>297</v>
      </c>
      <c r="C223" s="10" t="s">
        <v>298</v>
      </c>
      <c r="D223" s="9" t="n">
        <v>0</v>
      </c>
      <c r="E223" s="9" t="n">
        <v>0</v>
      </c>
      <c r="F223" s="29" t="n">
        <f aca="false">IFERROR(E223/D223*1000,0)</f>
        <v>0</v>
      </c>
      <c r="G223" s="14" t="n">
        <v>0</v>
      </c>
      <c r="H223" s="9" t="n">
        <v>0</v>
      </c>
      <c r="I223" s="23" t="n">
        <v>0</v>
      </c>
    </row>
    <row r="224" customFormat="false" ht="29.85" hidden="false" customHeight="false" outlineLevel="0" collapsed="false">
      <c r="A224" s="10" t="s">
        <v>32</v>
      </c>
      <c r="B224" s="28" t="s">
        <v>297</v>
      </c>
      <c r="C224" s="12" t="s">
        <v>299</v>
      </c>
      <c r="D224" s="9" t="n">
        <v>0</v>
      </c>
      <c r="E224" s="9" t="n">
        <v>0</v>
      </c>
      <c r="F224" s="29" t="n">
        <f aca="false">IFERROR(E224/D224*1000,0)</f>
        <v>0</v>
      </c>
      <c r="G224" s="14" t="n">
        <v>0</v>
      </c>
      <c r="H224" s="9" t="n">
        <v>0</v>
      </c>
      <c r="I224" s="23" t="n">
        <v>0</v>
      </c>
    </row>
    <row r="225" customFormat="false" ht="15" hidden="false" customHeight="false" outlineLevel="0" collapsed="false">
      <c r="A225" s="10" t="s">
        <v>28</v>
      </c>
      <c r="B225" s="28" t="s">
        <v>297</v>
      </c>
      <c r="C225" s="10" t="s">
        <v>300</v>
      </c>
      <c r="D225" s="9" t="n">
        <v>0</v>
      </c>
      <c r="E225" s="9" t="n">
        <v>0</v>
      </c>
      <c r="F225" s="29" t="n">
        <f aca="false">IFERROR(E225/D225*1000,0)</f>
        <v>0</v>
      </c>
      <c r="G225" s="14" t="n">
        <v>0</v>
      </c>
      <c r="H225" s="9" t="n">
        <v>0</v>
      </c>
      <c r="I225" s="23" t="n">
        <v>0</v>
      </c>
    </row>
    <row r="226" customFormat="false" ht="29.85" hidden="false" customHeight="false" outlineLevel="0" collapsed="false">
      <c r="A226" s="10" t="s">
        <v>30</v>
      </c>
      <c r="B226" s="28" t="s">
        <v>297</v>
      </c>
      <c r="C226" s="12" t="s">
        <v>301</v>
      </c>
      <c r="D226" s="9" t="n">
        <v>0</v>
      </c>
      <c r="E226" s="9" t="n">
        <v>0</v>
      </c>
      <c r="F226" s="29" t="n">
        <f aca="false">IFERROR(E226/D226*1000,0)</f>
        <v>0</v>
      </c>
      <c r="G226" s="14" t="n">
        <v>0</v>
      </c>
      <c r="H226" s="9" t="n">
        <v>0</v>
      </c>
      <c r="I226" s="23" t="n">
        <v>0</v>
      </c>
    </row>
    <row r="227" customFormat="false" ht="15" hidden="false" customHeight="false" outlineLevel="0" collapsed="false">
      <c r="A227" s="10" t="s">
        <v>31</v>
      </c>
      <c r="B227" s="28" t="s">
        <v>297</v>
      </c>
      <c r="C227" s="12" t="s">
        <v>302</v>
      </c>
      <c r="D227" s="9" t="n">
        <v>0</v>
      </c>
      <c r="E227" s="9" t="n">
        <v>0</v>
      </c>
      <c r="F227" s="29" t="n">
        <f aca="false">IFERROR(E227/D227*1000,0)</f>
        <v>0</v>
      </c>
      <c r="G227" s="14" t="n">
        <v>0</v>
      </c>
      <c r="H227" s="9" t="n">
        <v>0</v>
      </c>
      <c r="I227" s="23" t="n">
        <v>0</v>
      </c>
    </row>
    <row r="228" customFormat="false" ht="15" hidden="false" customHeight="false" outlineLevel="0" collapsed="false">
      <c r="A228" s="10" t="s">
        <v>28</v>
      </c>
      <c r="B228" s="28" t="s">
        <v>297</v>
      </c>
      <c r="C228" s="10" t="s">
        <v>303</v>
      </c>
      <c r="D228" s="9" t="n">
        <v>0</v>
      </c>
      <c r="E228" s="9" t="n">
        <v>0</v>
      </c>
      <c r="F228" s="29" t="n">
        <f aca="false">IFERROR(E228/D228*1000,0)</f>
        <v>0</v>
      </c>
      <c r="G228" s="14" t="n">
        <v>0</v>
      </c>
      <c r="H228" s="9" t="n">
        <v>0</v>
      </c>
      <c r="I228" s="23" t="n">
        <v>0</v>
      </c>
    </row>
    <row r="229" customFormat="false" ht="29.85" hidden="false" customHeight="false" outlineLevel="0" collapsed="false">
      <c r="A229" s="10" t="s">
        <v>32</v>
      </c>
      <c r="B229" s="28" t="s">
        <v>297</v>
      </c>
      <c r="C229" s="10" t="s">
        <v>304</v>
      </c>
      <c r="D229" s="9" t="n">
        <v>0</v>
      </c>
      <c r="E229" s="9" t="n">
        <v>0</v>
      </c>
      <c r="F229" s="29" t="n">
        <f aca="false">IFERROR(E229/D229*1000,0)</f>
        <v>0</v>
      </c>
      <c r="G229" s="14" t="n">
        <v>0</v>
      </c>
      <c r="H229" s="9" t="n">
        <v>0</v>
      </c>
      <c r="I229" s="23" t="n">
        <v>0</v>
      </c>
    </row>
    <row r="230" customFormat="false" ht="29.85" hidden="false" customHeight="false" outlineLevel="0" collapsed="false">
      <c r="A230" s="10" t="s">
        <v>30</v>
      </c>
      <c r="B230" s="28" t="s">
        <v>297</v>
      </c>
      <c r="C230" s="12" t="s">
        <v>305</v>
      </c>
      <c r="D230" s="9" t="n">
        <v>0</v>
      </c>
      <c r="E230" s="9" t="n">
        <v>0</v>
      </c>
      <c r="F230" s="29" t="n">
        <f aca="false">IFERROR(E230/D230*1000,0)</f>
        <v>0</v>
      </c>
      <c r="G230" s="14" t="n">
        <v>0</v>
      </c>
      <c r="H230" s="9" t="n">
        <v>0</v>
      </c>
      <c r="I230" s="23" t="n">
        <v>0</v>
      </c>
    </row>
    <row r="231" customFormat="false" ht="15" hidden="false" customHeight="false" outlineLevel="0" collapsed="false">
      <c r="A231" s="10" t="s">
        <v>27</v>
      </c>
      <c r="B231" s="28" t="s">
        <v>297</v>
      </c>
      <c r="C231" s="12" t="s">
        <v>306</v>
      </c>
      <c r="D231" s="9" t="n">
        <v>0</v>
      </c>
      <c r="E231" s="9" t="n">
        <v>0</v>
      </c>
      <c r="F231" s="29" t="n">
        <f aca="false">IFERROR(E231/D231*1000,0)</f>
        <v>0</v>
      </c>
      <c r="G231" s="14" t="n">
        <v>0</v>
      </c>
      <c r="H231" s="9" t="n">
        <v>0</v>
      </c>
      <c r="I231" s="23" t="n">
        <v>0</v>
      </c>
    </row>
    <row r="232" customFormat="false" ht="15" hidden="false" customHeight="false" outlineLevel="0" collapsed="false">
      <c r="A232" s="10" t="s">
        <v>28</v>
      </c>
      <c r="B232" s="28" t="s">
        <v>297</v>
      </c>
      <c r="C232" s="10" t="s">
        <v>307</v>
      </c>
      <c r="D232" s="9" t="n">
        <v>0</v>
      </c>
      <c r="E232" s="9" t="n">
        <v>0</v>
      </c>
      <c r="F232" s="29" t="n">
        <f aca="false">IFERROR(E232/D232*1000,0)</f>
        <v>0</v>
      </c>
      <c r="G232" s="14" t="n">
        <v>0</v>
      </c>
      <c r="H232" s="9" t="n">
        <v>0</v>
      </c>
      <c r="I232" s="23" t="n">
        <v>0</v>
      </c>
    </row>
    <row r="233" customFormat="false" ht="15" hidden="false" customHeight="false" outlineLevel="0" collapsed="false">
      <c r="A233" s="10" t="s">
        <v>27</v>
      </c>
      <c r="B233" s="28" t="s">
        <v>297</v>
      </c>
      <c r="C233" s="12" t="s">
        <v>308</v>
      </c>
      <c r="D233" s="9" t="n">
        <v>0</v>
      </c>
      <c r="E233" s="9" t="n">
        <v>0</v>
      </c>
      <c r="F233" s="29" t="n">
        <f aca="false">IFERROR(E233/D233*1000,0)</f>
        <v>0</v>
      </c>
      <c r="G233" s="14" t="n">
        <v>0</v>
      </c>
      <c r="H233" s="9" t="n">
        <v>0</v>
      </c>
      <c r="I233" s="23" t="n">
        <v>0</v>
      </c>
    </row>
    <row r="234" customFormat="false" ht="15" hidden="false" customHeight="false" outlineLevel="0" collapsed="false">
      <c r="A234" s="10" t="s">
        <v>29</v>
      </c>
      <c r="B234" s="28" t="s">
        <v>297</v>
      </c>
      <c r="C234" s="12" t="s">
        <v>309</v>
      </c>
      <c r="D234" s="9" t="n">
        <v>0</v>
      </c>
      <c r="E234" s="9" t="n">
        <v>0</v>
      </c>
      <c r="F234" s="29" t="n">
        <f aca="false">IFERROR(E234/D234*1000,0)</f>
        <v>0</v>
      </c>
      <c r="G234" s="14" t="n">
        <v>0</v>
      </c>
      <c r="H234" s="9" t="n">
        <v>0</v>
      </c>
      <c r="I234" s="23" t="n">
        <v>0</v>
      </c>
    </row>
    <row r="235" customFormat="false" ht="29.85" hidden="false" customHeight="false" outlineLevel="0" collapsed="false">
      <c r="A235" s="10" t="s">
        <v>31</v>
      </c>
      <c r="B235" s="28" t="s">
        <v>297</v>
      </c>
      <c r="C235" s="12" t="s">
        <v>310</v>
      </c>
      <c r="D235" s="9" t="n">
        <v>0</v>
      </c>
      <c r="E235" s="9" t="n">
        <v>0</v>
      </c>
      <c r="F235" s="29" t="n">
        <f aca="false">IFERROR(E235/D235*1000,0)</f>
        <v>0</v>
      </c>
      <c r="G235" s="14" t="n">
        <v>0</v>
      </c>
      <c r="H235" s="9" t="n">
        <v>0</v>
      </c>
      <c r="I235" s="23" t="n">
        <v>0</v>
      </c>
    </row>
    <row r="236" customFormat="false" ht="15" hidden="false" customHeight="false" outlineLevel="0" collapsed="false">
      <c r="A236" s="10" t="s">
        <v>31</v>
      </c>
      <c r="B236" s="28" t="s">
        <v>297</v>
      </c>
      <c r="C236" s="12" t="s">
        <v>311</v>
      </c>
      <c r="D236" s="9" t="n">
        <v>0</v>
      </c>
      <c r="E236" s="9" t="n">
        <v>0</v>
      </c>
      <c r="F236" s="29" t="n">
        <f aca="false">IFERROR(E236/D236*1000,0)</f>
        <v>0</v>
      </c>
      <c r="G236" s="14" t="n">
        <v>0</v>
      </c>
      <c r="H236" s="9" t="n">
        <v>0</v>
      </c>
      <c r="I236" s="23" t="n">
        <v>0</v>
      </c>
    </row>
    <row r="237" customFormat="false" ht="29.85" hidden="false" customHeight="false" outlineLevel="0" collapsed="false">
      <c r="A237" s="10" t="s">
        <v>30</v>
      </c>
      <c r="B237" s="28" t="s">
        <v>312</v>
      </c>
      <c r="C237" s="12" t="s">
        <v>313</v>
      </c>
      <c r="D237" s="9" t="n">
        <v>0</v>
      </c>
      <c r="E237" s="9" t="n">
        <v>0</v>
      </c>
      <c r="F237" s="29" t="n">
        <f aca="false">IFERROR(E237/D237*1000,0)</f>
        <v>0</v>
      </c>
      <c r="G237" s="14" t="n">
        <v>0</v>
      </c>
      <c r="H237" s="9" t="n">
        <v>0</v>
      </c>
      <c r="I237" s="23" t="n">
        <v>0</v>
      </c>
    </row>
    <row r="238" customFormat="false" ht="29.85" hidden="false" customHeight="false" outlineLevel="0" collapsed="false">
      <c r="A238" s="10" t="s">
        <v>32</v>
      </c>
      <c r="B238" s="28" t="s">
        <v>312</v>
      </c>
      <c r="C238" s="12" t="s">
        <v>314</v>
      </c>
      <c r="D238" s="9" t="n">
        <v>0</v>
      </c>
      <c r="E238" s="9" t="n">
        <v>0</v>
      </c>
      <c r="F238" s="29" t="n">
        <f aca="false">IFERROR(E238/D238*1000,0)</f>
        <v>0</v>
      </c>
      <c r="G238" s="14" t="n">
        <v>0</v>
      </c>
      <c r="H238" s="9" t="n">
        <v>0</v>
      </c>
      <c r="I238" s="23" t="n">
        <v>0</v>
      </c>
    </row>
    <row r="239" customFormat="false" ht="15" hidden="false" customHeight="false" outlineLevel="0" collapsed="false">
      <c r="A239" s="10" t="s">
        <v>27</v>
      </c>
      <c r="B239" s="28" t="s">
        <v>312</v>
      </c>
      <c r="C239" s="12" t="s">
        <v>315</v>
      </c>
      <c r="D239" s="9" t="n">
        <v>0</v>
      </c>
      <c r="E239" s="9" t="n">
        <v>0</v>
      </c>
      <c r="F239" s="29" t="n">
        <f aca="false">IFERROR(E239/D239*1000,0)</f>
        <v>0</v>
      </c>
      <c r="G239" s="14" t="n">
        <v>0</v>
      </c>
      <c r="H239" s="9" t="n">
        <v>0</v>
      </c>
      <c r="I239" s="23" t="n">
        <v>0</v>
      </c>
    </row>
    <row r="240" customFormat="false" ht="15" hidden="false" customHeight="false" outlineLevel="0" collapsed="false">
      <c r="A240" s="10" t="s">
        <v>29</v>
      </c>
      <c r="B240" s="28" t="s">
        <v>312</v>
      </c>
      <c r="C240" s="12" t="s">
        <v>316</v>
      </c>
      <c r="D240" s="9" t="n">
        <v>0</v>
      </c>
      <c r="E240" s="9" t="n">
        <v>0</v>
      </c>
      <c r="F240" s="29" t="n">
        <f aca="false">IFERROR(E240/D240*1000,0)</f>
        <v>0</v>
      </c>
      <c r="G240" s="14" t="n">
        <v>0</v>
      </c>
      <c r="H240" s="9" t="n">
        <v>0</v>
      </c>
      <c r="I240" s="23" t="n">
        <v>0</v>
      </c>
    </row>
    <row r="241" customFormat="false" ht="15" hidden="false" customHeight="false" outlineLevel="0" collapsed="false">
      <c r="A241" s="10" t="s">
        <v>29</v>
      </c>
      <c r="B241" s="28" t="s">
        <v>312</v>
      </c>
      <c r="C241" s="12" t="s">
        <v>317</v>
      </c>
      <c r="D241" s="9" t="n">
        <v>0</v>
      </c>
      <c r="E241" s="9" t="n">
        <v>0</v>
      </c>
      <c r="F241" s="29" t="n">
        <f aca="false">IFERROR(E241/D241*1000,0)</f>
        <v>0</v>
      </c>
      <c r="G241" s="14" t="n">
        <v>0</v>
      </c>
      <c r="H241" s="9" t="n">
        <v>0</v>
      </c>
      <c r="I241" s="23" t="n">
        <v>0</v>
      </c>
    </row>
    <row r="242" customFormat="false" ht="29.85" hidden="false" customHeight="false" outlineLevel="0" collapsed="false">
      <c r="A242" s="10" t="s">
        <v>30</v>
      </c>
      <c r="B242" s="28" t="s">
        <v>312</v>
      </c>
      <c r="C242" s="12" t="s">
        <v>318</v>
      </c>
      <c r="D242" s="9" t="n">
        <v>0</v>
      </c>
      <c r="E242" s="9" t="n">
        <v>0</v>
      </c>
      <c r="F242" s="29" t="n">
        <f aca="false">IFERROR(E242/D242*1000,0)</f>
        <v>0</v>
      </c>
      <c r="G242" s="14" t="n">
        <v>0</v>
      </c>
      <c r="H242" s="9" t="n">
        <v>0</v>
      </c>
      <c r="I242" s="23" t="n">
        <v>0</v>
      </c>
    </row>
    <row r="243" customFormat="false" ht="15" hidden="false" customHeight="false" outlineLevel="0" collapsed="false">
      <c r="A243" s="10" t="s">
        <v>28</v>
      </c>
      <c r="B243" s="28" t="s">
        <v>312</v>
      </c>
      <c r="C243" s="10" t="s">
        <v>319</v>
      </c>
      <c r="D243" s="9" t="n">
        <v>0</v>
      </c>
      <c r="E243" s="9" t="n">
        <v>0</v>
      </c>
      <c r="F243" s="29" t="n">
        <f aca="false">IFERROR(E243/D243*1000,0)</f>
        <v>0</v>
      </c>
      <c r="G243" s="14" t="n">
        <v>0</v>
      </c>
      <c r="H243" s="9" t="n">
        <v>0</v>
      </c>
      <c r="I243" s="23" t="n">
        <v>0</v>
      </c>
    </row>
    <row r="244" customFormat="false" ht="29.85" hidden="false" customHeight="false" outlineLevel="0" collapsed="false">
      <c r="A244" s="10" t="s">
        <v>31</v>
      </c>
      <c r="B244" s="28" t="s">
        <v>312</v>
      </c>
      <c r="C244" s="12" t="s">
        <v>320</v>
      </c>
      <c r="D244" s="9" t="n">
        <v>0</v>
      </c>
      <c r="E244" s="9" t="n">
        <v>0</v>
      </c>
      <c r="F244" s="29" t="n">
        <f aca="false">IFERROR(E244/D244*1000,0)</f>
        <v>0</v>
      </c>
      <c r="G244" s="14" t="n">
        <v>0</v>
      </c>
      <c r="H244" s="9" t="n">
        <v>0</v>
      </c>
      <c r="I244" s="23" t="n">
        <v>0</v>
      </c>
    </row>
    <row r="245" customFormat="false" ht="29.85" hidden="false" customHeight="false" outlineLevel="0" collapsed="false">
      <c r="A245" s="10" t="s">
        <v>30</v>
      </c>
      <c r="B245" s="28" t="s">
        <v>312</v>
      </c>
      <c r="C245" s="12" t="s">
        <v>321</v>
      </c>
      <c r="D245" s="9" t="n">
        <v>0</v>
      </c>
      <c r="E245" s="9" t="n">
        <v>0</v>
      </c>
      <c r="F245" s="29" t="n">
        <f aca="false">IFERROR(E245/D245*1000,0)</f>
        <v>0</v>
      </c>
      <c r="G245" s="14" t="n">
        <v>0</v>
      </c>
      <c r="H245" s="9" t="n">
        <v>0</v>
      </c>
      <c r="I245" s="23" t="n">
        <v>0</v>
      </c>
    </row>
    <row r="246" customFormat="false" ht="15" hidden="false" customHeight="false" outlineLevel="0" collapsed="false">
      <c r="A246" s="10" t="s">
        <v>28</v>
      </c>
      <c r="B246" s="28" t="s">
        <v>312</v>
      </c>
      <c r="C246" s="12" t="s">
        <v>322</v>
      </c>
      <c r="D246" s="9" t="n">
        <v>0</v>
      </c>
      <c r="E246" s="9" t="n">
        <v>0</v>
      </c>
      <c r="F246" s="29" t="n">
        <f aca="false">IFERROR(E246/D246*1000,0)</f>
        <v>0</v>
      </c>
      <c r="G246" s="14" t="n">
        <v>0</v>
      </c>
      <c r="H246" s="9" t="n">
        <v>0</v>
      </c>
      <c r="I246" s="23" t="n">
        <v>0</v>
      </c>
    </row>
    <row r="247" customFormat="false" ht="15" hidden="false" customHeight="false" outlineLevel="0" collapsed="false">
      <c r="A247" s="10" t="s">
        <v>27</v>
      </c>
      <c r="B247" s="28" t="s">
        <v>312</v>
      </c>
      <c r="C247" s="12" t="s">
        <v>323</v>
      </c>
      <c r="D247" s="9" t="n">
        <v>0</v>
      </c>
      <c r="E247" s="9" t="n">
        <v>0</v>
      </c>
      <c r="F247" s="29" t="n">
        <f aca="false">IFERROR(E247/D247*1000,0)</f>
        <v>0</v>
      </c>
      <c r="G247" s="14" t="n">
        <v>0</v>
      </c>
      <c r="H247" s="9" t="n">
        <v>0</v>
      </c>
      <c r="I247" s="23" t="n">
        <v>0</v>
      </c>
    </row>
    <row r="248" customFormat="false" ht="15" hidden="false" customHeight="false" outlineLevel="0" collapsed="false">
      <c r="A248" s="10" t="s">
        <v>32</v>
      </c>
      <c r="B248" s="28" t="s">
        <v>312</v>
      </c>
      <c r="C248" s="12" t="s">
        <v>324</v>
      </c>
      <c r="D248" s="9" t="n">
        <v>0</v>
      </c>
      <c r="E248" s="9" t="n">
        <v>0</v>
      </c>
      <c r="F248" s="29" t="n">
        <f aca="false">IFERROR(E248/D248*1000,0)</f>
        <v>0</v>
      </c>
      <c r="G248" s="14" t="n">
        <v>0</v>
      </c>
      <c r="H248" s="9" t="n">
        <v>0</v>
      </c>
      <c r="I248" s="23" t="n">
        <v>0</v>
      </c>
    </row>
    <row r="249" customFormat="false" ht="15" hidden="false" customHeight="false" outlineLevel="0" collapsed="false">
      <c r="A249" s="10" t="s">
        <v>30</v>
      </c>
      <c r="B249" s="28" t="s">
        <v>312</v>
      </c>
      <c r="C249" s="12" t="s">
        <v>325</v>
      </c>
      <c r="D249" s="9" t="n">
        <v>0</v>
      </c>
      <c r="E249" s="9" t="n">
        <v>0</v>
      </c>
      <c r="F249" s="29" t="n">
        <f aca="false">IFERROR(E249/D249*1000,0)</f>
        <v>0</v>
      </c>
      <c r="G249" s="14" t="n">
        <v>0</v>
      </c>
      <c r="H249" s="9" t="n">
        <v>0</v>
      </c>
      <c r="I249" s="23" t="n">
        <v>0</v>
      </c>
    </row>
    <row r="250" customFormat="false" ht="29.85" hidden="false" customHeight="false" outlineLevel="0" collapsed="false">
      <c r="A250" s="10" t="s">
        <v>32</v>
      </c>
      <c r="B250" s="28" t="s">
        <v>312</v>
      </c>
      <c r="C250" s="12" t="s">
        <v>326</v>
      </c>
      <c r="D250" s="9" t="n">
        <v>0</v>
      </c>
      <c r="E250" s="9" t="n">
        <v>0</v>
      </c>
      <c r="F250" s="29" t="n">
        <f aca="false">IFERROR(E250/D250*1000,0)</f>
        <v>0</v>
      </c>
      <c r="G250" s="14" t="n">
        <v>0</v>
      </c>
      <c r="H250" s="9" t="n">
        <v>0</v>
      </c>
      <c r="I250" s="23" t="n">
        <v>0</v>
      </c>
    </row>
    <row r="251" customFormat="false" ht="15" hidden="false" customHeight="false" outlineLevel="0" collapsed="false">
      <c r="A251" s="10" t="s">
        <v>28</v>
      </c>
      <c r="B251" s="28" t="s">
        <v>312</v>
      </c>
      <c r="C251" s="10" t="s">
        <v>327</v>
      </c>
      <c r="D251" s="9" t="n">
        <v>0</v>
      </c>
      <c r="E251" s="9" t="n">
        <v>0</v>
      </c>
      <c r="F251" s="29" t="n">
        <f aca="false">IFERROR(E251/D251*1000,0)</f>
        <v>0</v>
      </c>
      <c r="G251" s="14" t="n">
        <v>0</v>
      </c>
      <c r="H251" s="9" t="n">
        <v>0</v>
      </c>
      <c r="I251" s="23" t="n">
        <v>0.0606060606060606</v>
      </c>
    </row>
    <row r="252" customFormat="false" ht="29.85" hidden="false" customHeight="false" outlineLevel="0" collapsed="false">
      <c r="A252" s="10" t="s">
        <v>27</v>
      </c>
      <c r="B252" s="28" t="s">
        <v>312</v>
      </c>
      <c r="C252" s="12" t="s">
        <v>328</v>
      </c>
      <c r="D252" s="9" t="n">
        <v>0</v>
      </c>
      <c r="E252" s="9" t="n">
        <v>0</v>
      </c>
      <c r="F252" s="29" t="n">
        <f aca="false">IFERROR(E252/D252*1000,0)</f>
        <v>0</v>
      </c>
      <c r="G252" s="14" t="n">
        <v>0</v>
      </c>
      <c r="H252" s="9" t="n">
        <v>0</v>
      </c>
      <c r="I252" s="23" t="n">
        <v>0</v>
      </c>
    </row>
    <row r="253" customFormat="false" ht="29.85" hidden="false" customHeight="false" outlineLevel="0" collapsed="false">
      <c r="A253" s="10" t="s">
        <v>29</v>
      </c>
      <c r="B253" s="28" t="s">
        <v>312</v>
      </c>
      <c r="C253" s="12" t="s">
        <v>329</v>
      </c>
      <c r="D253" s="9" t="n">
        <v>0</v>
      </c>
      <c r="E253" s="9" t="n">
        <v>0</v>
      </c>
      <c r="F253" s="29" t="n">
        <f aca="false">IFERROR(E253/D253*1000,0)</f>
        <v>0</v>
      </c>
      <c r="G253" s="14" t="n">
        <v>0</v>
      </c>
      <c r="H253" s="9" t="n">
        <v>0</v>
      </c>
      <c r="I253" s="23" t="n">
        <v>0</v>
      </c>
    </row>
    <row r="254" customFormat="false" ht="15" hidden="false" customHeight="false" outlineLevel="0" collapsed="false">
      <c r="A254" s="10" t="s">
        <v>31</v>
      </c>
      <c r="B254" s="28" t="s">
        <v>312</v>
      </c>
      <c r="C254" s="12" t="s">
        <v>330</v>
      </c>
      <c r="D254" s="9" t="n">
        <v>0</v>
      </c>
      <c r="E254" s="9" t="n">
        <v>0</v>
      </c>
      <c r="F254" s="29" t="n">
        <f aca="false">IFERROR(E254/D254*1000,0)</f>
        <v>0</v>
      </c>
      <c r="G254" s="14" t="n">
        <v>0</v>
      </c>
      <c r="H254" s="9" t="n">
        <v>0</v>
      </c>
      <c r="I254" s="23" t="n">
        <v>0</v>
      </c>
    </row>
    <row r="255" customFormat="false" ht="29.85" hidden="false" customHeight="false" outlineLevel="0" collapsed="false">
      <c r="A255" s="10" t="s">
        <v>30</v>
      </c>
      <c r="B255" s="28" t="s">
        <v>128</v>
      </c>
      <c r="C255" s="12" t="s">
        <v>331</v>
      </c>
      <c r="D255" s="9" t="n">
        <v>0</v>
      </c>
      <c r="E255" s="9" t="n">
        <v>0</v>
      </c>
      <c r="F255" s="29" t="n">
        <f aca="false">IFERROR(E255/D255*1000,0)</f>
        <v>0</v>
      </c>
      <c r="G255" s="14" t="n">
        <v>0</v>
      </c>
      <c r="H255" s="9" t="n">
        <v>0</v>
      </c>
      <c r="I255" s="23" t="n">
        <v>0</v>
      </c>
    </row>
    <row r="256" customFormat="false" ht="15" hidden="false" customHeight="false" outlineLevel="0" collapsed="false">
      <c r="A256" s="10" t="s">
        <v>32</v>
      </c>
      <c r="B256" s="28" t="s">
        <v>128</v>
      </c>
      <c r="C256" s="10" t="s">
        <v>332</v>
      </c>
      <c r="D256" s="9" t="n">
        <v>0</v>
      </c>
      <c r="E256" s="9" t="n">
        <v>0</v>
      </c>
      <c r="F256" s="29" t="n">
        <f aca="false">IFERROR(E256/D256*1000,0)</f>
        <v>0</v>
      </c>
      <c r="G256" s="14" t="n">
        <v>0</v>
      </c>
      <c r="H256" s="9" t="n">
        <v>0</v>
      </c>
      <c r="I256" s="23" t="n">
        <v>0.0294117647058824</v>
      </c>
    </row>
    <row r="257" customFormat="false" ht="15" hidden="false" customHeight="false" outlineLevel="0" collapsed="false">
      <c r="A257" s="10" t="s">
        <v>27</v>
      </c>
      <c r="B257" s="28" t="s">
        <v>128</v>
      </c>
      <c r="C257" s="12" t="s">
        <v>333</v>
      </c>
      <c r="D257" s="9" t="n">
        <v>0</v>
      </c>
      <c r="E257" s="9" t="n">
        <v>0</v>
      </c>
      <c r="F257" s="29" t="n">
        <f aca="false">IFERROR(E257/D257*1000,0)</f>
        <v>0</v>
      </c>
      <c r="G257" s="14" t="n">
        <v>0</v>
      </c>
      <c r="H257" s="9" t="n">
        <v>0</v>
      </c>
      <c r="I257" s="23" t="n">
        <v>0</v>
      </c>
    </row>
    <row r="258" customFormat="false" ht="15" hidden="false" customHeight="false" outlineLevel="0" collapsed="false">
      <c r="A258" s="10" t="s">
        <v>29</v>
      </c>
      <c r="B258" s="28" t="s">
        <v>128</v>
      </c>
      <c r="C258" s="12" t="s">
        <v>334</v>
      </c>
      <c r="D258" s="9" t="n">
        <v>0</v>
      </c>
      <c r="E258" s="9" t="n">
        <v>0</v>
      </c>
      <c r="F258" s="29" t="n">
        <f aca="false">IFERROR(E258/D258*1000,0)</f>
        <v>0</v>
      </c>
      <c r="G258" s="14" t="n">
        <v>0</v>
      </c>
      <c r="H258" s="9" t="n">
        <v>0</v>
      </c>
      <c r="I258" s="23" t="n">
        <v>0.333333333333333</v>
      </c>
    </row>
    <row r="259" customFormat="false" ht="15" hidden="false" customHeight="false" outlineLevel="0" collapsed="false">
      <c r="A259" s="10" t="s">
        <v>29</v>
      </c>
      <c r="B259" s="28" t="s">
        <v>128</v>
      </c>
      <c r="C259" s="12" t="s">
        <v>335</v>
      </c>
      <c r="D259" s="9" t="n">
        <v>0</v>
      </c>
      <c r="E259" s="9" t="n">
        <v>0</v>
      </c>
      <c r="F259" s="29" t="n">
        <f aca="false">IFERROR(E259/D259*1000,0)</f>
        <v>0</v>
      </c>
      <c r="G259" s="14" t="n">
        <v>0</v>
      </c>
      <c r="H259" s="9" t="n">
        <v>0</v>
      </c>
      <c r="I259" s="23" t="n">
        <v>0</v>
      </c>
    </row>
    <row r="260" customFormat="false" ht="15" hidden="false" customHeight="false" outlineLevel="0" collapsed="false">
      <c r="A260" s="10" t="s">
        <v>28</v>
      </c>
      <c r="B260" s="28" t="s">
        <v>128</v>
      </c>
      <c r="C260" s="12" t="s">
        <v>336</v>
      </c>
      <c r="D260" s="9" t="n">
        <v>0</v>
      </c>
      <c r="E260" s="9" t="n">
        <v>0</v>
      </c>
      <c r="F260" s="29" t="n">
        <f aca="false">IFERROR(E260/D260*1000,0)</f>
        <v>0</v>
      </c>
      <c r="G260" s="14" t="n">
        <v>0</v>
      </c>
      <c r="H260" s="9" t="n">
        <v>0</v>
      </c>
      <c r="I260" s="23" t="n">
        <v>0.0132450331125828</v>
      </c>
    </row>
    <row r="261" customFormat="false" ht="29.85" hidden="false" customHeight="false" outlineLevel="0" collapsed="false">
      <c r="A261" s="10" t="s">
        <v>31</v>
      </c>
      <c r="B261" s="28" t="s">
        <v>128</v>
      </c>
      <c r="C261" s="12" t="s">
        <v>337</v>
      </c>
      <c r="D261" s="9" t="n">
        <v>0</v>
      </c>
      <c r="E261" s="9" t="n">
        <v>0</v>
      </c>
      <c r="F261" s="29" t="n">
        <f aca="false">IFERROR(E261/D261*1000,0)</f>
        <v>0</v>
      </c>
      <c r="G261" s="14" t="n">
        <v>0</v>
      </c>
      <c r="H261" s="9" t="n">
        <v>0</v>
      </c>
      <c r="I261" s="23" t="n">
        <v>0</v>
      </c>
    </row>
    <row r="262" customFormat="false" ht="29.85" hidden="false" customHeight="false" outlineLevel="0" collapsed="false">
      <c r="A262" s="10" t="s">
        <v>30</v>
      </c>
      <c r="B262" s="28" t="s">
        <v>128</v>
      </c>
      <c r="C262" s="12" t="s">
        <v>338</v>
      </c>
      <c r="D262" s="9" t="n">
        <v>0</v>
      </c>
      <c r="E262" s="9" t="n">
        <v>0</v>
      </c>
      <c r="F262" s="29" t="n">
        <f aca="false">IFERROR(E262/D262*1000,0)</f>
        <v>0</v>
      </c>
      <c r="G262" s="14" t="n">
        <v>0</v>
      </c>
      <c r="H262" s="9" t="n">
        <v>0</v>
      </c>
      <c r="I262" s="23" t="n">
        <v>0</v>
      </c>
    </row>
    <row r="263" customFormat="false" ht="15" hidden="false" customHeight="false" outlineLevel="0" collapsed="false">
      <c r="A263" s="10" t="s">
        <v>28</v>
      </c>
      <c r="B263" s="28" t="s">
        <v>128</v>
      </c>
      <c r="C263" s="10" t="s">
        <v>339</v>
      </c>
      <c r="D263" s="9" t="n">
        <v>0</v>
      </c>
      <c r="E263" s="9" t="n">
        <v>0</v>
      </c>
      <c r="F263" s="29" t="n">
        <f aca="false">IFERROR(E263/D263*1000,0)</f>
        <v>0</v>
      </c>
      <c r="G263" s="14" t="n">
        <v>0</v>
      </c>
      <c r="H263" s="9" t="n">
        <v>0</v>
      </c>
      <c r="I263" s="23" t="n">
        <v>0.0055452865064695</v>
      </c>
    </row>
    <row r="264" customFormat="false" ht="29.85" hidden="false" customHeight="false" outlineLevel="0" collapsed="false">
      <c r="A264" s="10" t="s">
        <v>27</v>
      </c>
      <c r="B264" s="28" t="s">
        <v>128</v>
      </c>
      <c r="C264" s="12" t="s">
        <v>340</v>
      </c>
      <c r="D264" s="9" t="n">
        <v>0</v>
      </c>
      <c r="E264" s="9" t="n">
        <v>0</v>
      </c>
      <c r="F264" s="29" t="n">
        <f aca="false">IFERROR(E264/D264*1000,0)</f>
        <v>0</v>
      </c>
      <c r="G264" s="14" t="n">
        <v>0</v>
      </c>
      <c r="H264" s="9" t="n">
        <v>0</v>
      </c>
      <c r="I264" s="23" t="n">
        <v>0</v>
      </c>
    </row>
    <row r="265" customFormat="false" ht="29.85" hidden="false" customHeight="false" outlineLevel="0" collapsed="false">
      <c r="A265" s="10" t="s">
        <v>32</v>
      </c>
      <c r="B265" s="28" t="s">
        <v>128</v>
      </c>
      <c r="C265" s="12" t="s">
        <v>341</v>
      </c>
      <c r="D265" s="9" t="n">
        <v>0</v>
      </c>
      <c r="E265" s="9" t="n">
        <v>0</v>
      </c>
      <c r="F265" s="29" t="n">
        <f aca="false">IFERROR(E265/D265*1000,0)</f>
        <v>0</v>
      </c>
      <c r="G265" s="14" t="n">
        <v>0</v>
      </c>
      <c r="H265" s="9" t="n">
        <v>0</v>
      </c>
      <c r="I265" s="23" t="n">
        <v>0.0153846153846154</v>
      </c>
    </row>
    <row r="266" customFormat="false" ht="15" hidden="false" customHeight="false" outlineLevel="0" collapsed="false">
      <c r="A266" s="10" t="s">
        <v>31</v>
      </c>
      <c r="B266" s="28" t="s">
        <v>128</v>
      </c>
      <c r="C266" s="12" t="s">
        <v>342</v>
      </c>
      <c r="D266" s="9" t="n">
        <v>0</v>
      </c>
      <c r="E266" s="9" t="n">
        <v>0</v>
      </c>
      <c r="F266" s="29" t="n">
        <f aca="false">IFERROR(E266/D266*1000,0)</f>
        <v>0</v>
      </c>
      <c r="G266" s="14" t="n">
        <v>0</v>
      </c>
      <c r="H266" s="9" t="n">
        <v>0</v>
      </c>
      <c r="I266" s="23" t="n">
        <v>0</v>
      </c>
    </row>
  </sheetData>
  <autoFilter ref="A3:I266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7"/>
    <col collapsed="false" customWidth="true" hidden="false" outlineLevel="0" max="3" min="3" style="0" width="40"/>
    <col collapsed="false" customWidth="true" hidden="false" outlineLevel="0" max="4" min="4" style="0" width="58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21.6" hidden="false" customHeight="false" outlineLevel="0" collapsed="false">
      <c r="A1" s="20" t="s">
        <v>343</v>
      </c>
      <c r="B1" s="20"/>
      <c r="C1" s="20"/>
      <c r="D1" s="20"/>
      <c r="E1" s="20"/>
      <c r="F1" s="20"/>
    </row>
    <row r="2" customFormat="false" ht="15" hidden="false" customHeight="true" outlineLevel="0" collapsed="false">
      <c r="A2" s="27" t="s">
        <v>344</v>
      </c>
      <c r="B2" s="27"/>
      <c r="C2" s="27"/>
      <c r="D2" s="27"/>
      <c r="E2" s="27"/>
      <c r="F2" s="27"/>
    </row>
    <row r="3" customFormat="false" ht="15" hidden="false" customHeight="false" outlineLevel="0" collapsed="false">
      <c r="A3" s="27"/>
      <c r="B3" s="27"/>
      <c r="C3" s="27"/>
      <c r="D3" s="27"/>
      <c r="E3" s="27"/>
      <c r="F3" s="27"/>
    </row>
    <row r="5" customFormat="false" ht="27.75" hidden="false" customHeight="true" outlineLevel="0" collapsed="false">
      <c r="A5" s="21" t="s">
        <v>345</v>
      </c>
      <c r="B5" s="7" t="s">
        <v>346</v>
      </c>
      <c r="C5" s="7" t="s">
        <v>347</v>
      </c>
      <c r="D5" s="7" t="s">
        <v>348</v>
      </c>
      <c r="E5" s="7" t="s">
        <v>349</v>
      </c>
      <c r="F5" s="7" t="s">
        <v>350</v>
      </c>
    </row>
    <row r="6" customFormat="false" ht="57.75" hidden="false" customHeight="true" outlineLevel="0" collapsed="false">
      <c r="A6" s="28" t="s">
        <v>351</v>
      </c>
      <c r="B6" s="12" t="s">
        <v>352</v>
      </c>
      <c r="C6" s="10" t="s">
        <v>353</v>
      </c>
      <c r="D6" s="10" t="s">
        <v>354</v>
      </c>
      <c r="E6" s="12" t="s">
        <v>355</v>
      </c>
      <c r="F6" s="30" t="s">
        <v>356</v>
      </c>
    </row>
    <row r="7" customFormat="false" ht="57.75" hidden="false" customHeight="true" outlineLevel="0" collapsed="false">
      <c r="A7" s="28" t="s">
        <v>357</v>
      </c>
      <c r="B7" s="10" t="s">
        <v>30</v>
      </c>
      <c r="C7" s="12" t="s">
        <v>358</v>
      </c>
      <c r="D7" s="12" t="s">
        <v>359</v>
      </c>
      <c r="E7" s="12" t="s">
        <v>360</v>
      </c>
      <c r="F7" s="31" t="s">
        <v>361</v>
      </c>
    </row>
    <row r="8" customFormat="false" ht="57.75" hidden="false" customHeight="true" outlineLevel="0" collapsed="false">
      <c r="A8" s="28" t="s">
        <v>362</v>
      </c>
      <c r="B8" s="10" t="s">
        <v>28</v>
      </c>
      <c r="C8" s="12" t="s">
        <v>363</v>
      </c>
      <c r="D8" s="12" t="s">
        <v>364</v>
      </c>
      <c r="E8" s="12" t="s">
        <v>365</v>
      </c>
      <c r="F8" s="31" t="s">
        <v>361</v>
      </c>
    </row>
    <row r="9" customFormat="false" ht="57.75" hidden="false" customHeight="true" outlineLevel="0" collapsed="false">
      <c r="A9" s="28" t="s">
        <v>366</v>
      </c>
      <c r="B9" s="10" t="s">
        <v>27</v>
      </c>
      <c r="C9" s="12" t="s">
        <v>367</v>
      </c>
      <c r="D9" s="12" t="s">
        <v>368</v>
      </c>
      <c r="E9" s="12" t="s">
        <v>369</v>
      </c>
      <c r="F9" s="31" t="s">
        <v>361</v>
      </c>
    </row>
    <row r="10" customFormat="false" ht="57.75" hidden="false" customHeight="true" outlineLevel="0" collapsed="false">
      <c r="A10" s="28" t="s">
        <v>370</v>
      </c>
      <c r="B10" s="10" t="s">
        <v>32</v>
      </c>
      <c r="C10" s="12" t="s">
        <v>371</v>
      </c>
      <c r="D10" s="12" t="s">
        <v>372</v>
      </c>
      <c r="E10" s="12" t="s">
        <v>373</v>
      </c>
      <c r="F10" s="31" t="s">
        <v>361</v>
      </c>
    </row>
    <row r="11" customFormat="false" ht="57.75" hidden="false" customHeight="true" outlineLevel="0" collapsed="false">
      <c r="A11" s="28" t="s">
        <v>374</v>
      </c>
      <c r="B11" s="12" t="s">
        <v>352</v>
      </c>
      <c r="C11" s="12" t="s">
        <v>375</v>
      </c>
      <c r="D11" s="10" t="s">
        <v>376</v>
      </c>
      <c r="E11" s="12" t="s">
        <v>377</v>
      </c>
      <c r="F11" s="32" t="s">
        <v>378</v>
      </c>
    </row>
    <row r="12" customFormat="false" ht="57.75" hidden="false" customHeight="true" outlineLevel="0" collapsed="false">
      <c r="A12" s="28" t="s">
        <v>379</v>
      </c>
      <c r="B12" s="12" t="s">
        <v>380</v>
      </c>
      <c r="C12" s="10" t="s">
        <v>381</v>
      </c>
      <c r="D12" s="10" t="s">
        <v>382</v>
      </c>
      <c r="E12" s="12" t="s">
        <v>383</v>
      </c>
      <c r="F12" s="32" t="s">
        <v>378</v>
      </c>
    </row>
    <row r="15" customFormat="false" ht="15" hidden="false" customHeight="false" outlineLevel="0" collapsed="false">
      <c r="A15" s="6" t="s">
        <v>384</v>
      </c>
    </row>
    <row r="16" customFormat="false" ht="25.5" hidden="false" customHeight="true" outlineLevel="0" collapsed="false">
      <c r="A16" s="27" t="s">
        <v>385</v>
      </c>
      <c r="B16" s="27"/>
      <c r="C16" s="27"/>
      <c r="D16" s="27"/>
      <c r="E16" s="27"/>
      <c r="F16" s="27"/>
    </row>
    <row r="17" customFormat="false" ht="25.5" hidden="false" customHeight="true" outlineLevel="0" collapsed="false">
      <c r="A17" s="27" t="s">
        <v>386</v>
      </c>
      <c r="B17" s="27"/>
      <c r="C17" s="27"/>
      <c r="D17" s="27"/>
      <c r="E17" s="27"/>
      <c r="F17" s="27"/>
    </row>
    <row r="18" customFormat="false" ht="25.5" hidden="false" customHeight="true" outlineLevel="0" collapsed="false">
      <c r="A18" s="27" t="s">
        <v>387</v>
      </c>
      <c r="B18" s="27"/>
      <c r="C18" s="27"/>
      <c r="D18" s="27"/>
      <c r="E18" s="27"/>
      <c r="F18" s="27"/>
    </row>
    <row r="19" customFormat="false" ht="25.5" hidden="false" customHeight="true" outlineLevel="0" collapsed="false">
      <c r="A19" s="27" t="s">
        <v>388</v>
      </c>
      <c r="B19" s="27"/>
      <c r="C19" s="27"/>
      <c r="D19" s="27"/>
      <c r="E19" s="27"/>
      <c r="F19" s="27"/>
    </row>
  </sheetData>
  <mergeCells count="6">
    <mergeCell ref="A1:F1"/>
    <mergeCell ref="A2:F3"/>
    <mergeCell ref="A16:F16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5" topLeftCell="A2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34"/>
  </cols>
  <sheetData>
    <row r="1" customFormat="false" ht="21.6" hidden="false" customHeight="false" outlineLevel="0" collapsed="false">
      <c r="A1" s="20" t="s">
        <v>389</v>
      </c>
      <c r="B1" s="20"/>
      <c r="C1" s="20"/>
      <c r="D1" s="20"/>
      <c r="E1" s="20"/>
      <c r="F1" s="20"/>
    </row>
    <row r="3" customFormat="false" ht="27.75" hidden="false" customHeight="true" outlineLevel="0" collapsed="false">
      <c r="A3" s="7" t="s">
        <v>46</v>
      </c>
      <c r="B3" s="7" t="s">
        <v>390</v>
      </c>
      <c r="C3" s="7" t="s">
        <v>391</v>
      </c>
      <c r="D3" s="7" t="s">
        <v>392</v>
      </c>
      <c r="E3" s="7" t="s">
        <v>393</v>
      </c>
      <c r="F3" s="7" t="s">
        <v>25</v>
      </c>
    </row>
    <row r="4" customFormat="false" ht="15" hidden="false" customHeight="false" outlineLevel="0" collapsed="false">
      <c r="A4" s="28" t="s">
        <v>91</v>
      </c>
      <c r="B4" s="9" t="n">
        <v>8</v>
      </c>
      <c r="C4" s="9" t="n">
        <v>7081</v>
      </c>
      <c r="D4" s="9" t="n">
        <v>2</v>
      </c>
      <c r="E4" s="9" t="n">
        <f aca="false">IFERROR(C4/B4,0)</f>
        <v>885.125</v>
      </c>
      <c r="F4" s="13" t="n">
        <f aca="false">IFERROR(D4/C4*1000,0)</f>
        <v>0.282445982205903</v>
      </c>
    </row>
    <row r="5" customFormat="false" ht="15" hidden="false" customHeight="false" outlineLevel="0" collapsed="false">
      <c r="A5" s="28" t="s">
        <v>51</v>
      </c>
      <c r="B5" s="9" t="n">
        <v>7</v>
      </c>
      <c r="C5" s="9" t="n">
        <v>8553</v>
      </c>
      <c r="D5" s="9" t="n">
        <v>9</v>
      </c>
      <c r="E5" s="9" t="n">
        <f aca="false">IFERROR(C5/B5,0)</f>
        <v>1221.85714285714</v>
      </c>
      <c r="F5" s="13" t="n">
        <f aca="false">IFERROR(D5/C5*1000,0)</f>
        <v>1.05226236408278</v>
      </c>
    </row>
    <row r="6" customFormat="false" ht="15" hidden="false" customHeight="false" outlineLevel="0" collapsed="false">
      <c r="A6" s="28" t="s">
        <v>55</v>
      </c>
      <c r="B6" s="9" t="n">
        <v>12</v>
      </c>
      <c r="C6" s="9" t="n">
        <v>12948</v>
      </c>
      <c r="D6" s="9" t="n">
        <v>11</v>
      </c>
      <c r="E6" s="9" t="n">
        <f aca="false">IFERROR(C6/B6,0)</f>
        <v>1079</v>
      </c>
      <c r="F6" s="13" t="n">
        <f aca="false">IFERROR(D6/C6*1000,0)</f>
        <v>0.849552054371332</v>
      </c>
    </row>
    <row r="7" customFormat="false" ht="15" hidden="false" customHeight="false" outlineLevel="0" collapsed="false">
      <c r="A7" s="28" t="s">
        <v>86</v>
      </c>
      <c r="B7" s="9" t="n">
        <v>14</v>
      </c>
      <c r="C7" s="9" t="n">
        <v>12334</v>
      </c>
      <c r="D7" s="9" t="n">
        <v>6</v>
      </c>
      <c r="E7" s="9" t="n">
        <f aca="false">IFERROR(C7/B7,0)</f>
        <v>881</v>
      </c>
      <c r="F7" s="13" t="n">
        <f aca="false">IFERROR(D7/C7*1000,0)</f>
        <v>0.486460191341009</v>
      </c>
    </row>
    <row r="8" customFormat="false" ht="15" hidden="false" customHeight="false" outlineLevel="0" collapsed="false">
      <c r="A8" s="28" t="s">
        <v>102</v>
      </c>
      <c r="B8" s="9" t="n">
        <v>7</v>
      </c>
      <c r="C8" s="9" t="n">
        <v>7467</v>
      </c>
      <c r="D8" s="9" t="n">
        <v>2</v>
      </c>
      <c r="E8" s="9" t="n">
        <f aca="false">IFERROR(C8/B8,0)</f>
        <v>1066.71428571429</v>
      </c>
      <c r="F8" s="13" t="n">
        <f aca="false">IFERROR(D8/C8*1000,0)</f>
        <v>0.267845185482791</v>
      </c>
    </row>
    <row r="9" customFormat="false" ht="15" hidden="false" customHeight="false" outlineLevel="0" collapsed="false">
      <c r="A9" s="28" t="s">
        <v>79</v>
      </c>
      <c r="B9" s="9" t="n">
        <v>11</v>
      </c>
      <c r="C9" s="9" t="n">
        <v>8532</v>
      </c>
      <c r="D9" s="9" t="n">
        <v>4</v>
      </c>
      <c r="E9" s="9" t="n">
        <f aca="false">IFERROR(C9/B9,0)</f>
        <v>775.636363636364</v>
      </c>
      <c r="F9" s="13" t="n">
        <f aca="false">IFERROR(D9/C9*1000,0)</f>
        <v>0.46882325363338</v>
      </c>
    </row>
    <row r="10" customFormat="false" ht="15" hidden="false" customHeight="false" outlineLevel="0" collapsed="false">
      <c r="A10" s="28" t="s">
        <v>60</v>
      </c>
      <c r="B10" s="9" t="n">
        <v>7</v>
      </c>
      <c r="C10" s="9" t="n">
        <v>6311</v>
      </c>
      <c r="D10" s="9" t="n">
        <v>6</v>
      </c>
      <c r="E10" s="9" t="n">
        <f aca="false">IFERROR(C10/B10,0)</f>
        <v>901.571428571429</v>
      </c>
      <c r="F10" s="13" t="n">
        <f aca="false">IFERROR(D10/C10*1000,0)</f>
        <v>0.950720963397243</v>
      </c>
    </row>
    <row r="11" customFormat="false" ht="15" hidden="false" customHeight="false" outlineLevel="0" collapsed="false">
      <c r="A11" s="28" t="s">
        <v>81</v>
      </c>
      <c r="B11" s="9" t="n">
        <v>1</v>
      </c>
      <c r="C11" s="9" t="n">
        <v>951</v>
      </c>
      <c r="D11" s="9" t="n">
        <v>2</v>
      </c>
      <c r="E11" s="9" t="n">
        <f aca="false">IFERROR(C11/B11,0)</f>
        <v>951</v>
      </c>
      <c r="F11" s="13" t="n">
        <f aca="false">IFERROR(D11/C11*1000,0)</f>
        <v>2.10304942166141</v>
      </c>
    </row>
    <row r="12" customFormat="false" ht="15" hidden="false" customHeight="false" outlineLevel="0" collapsed="false">
      <c r="A12" s="28" t="s">
        <v>83</v>
      </c>
      <c r="B12" s="9" t="n">
        <v>7</v>
      </c>
      <c r="C12" s="9" t="n">
        <v>6539</v>
      </c>
      <c r="D12" s="9" t="n">
        <v>7</v>
      </c>
      <c r="E12" s="9" t="n">
        <f aca="false">IFERROR(C12/B12,0)</f>
        <v>934.142857142857</v>
      </c>
      <c r="F12" s="13" t="n">
        <f aca="false">IFERROR(D12/C12*1000,0)</f>
        <v>1.07050007646429</v>
      </c>
    </row>
    <row r="13" customFormat="false" ht="15" hidden="false" customHeight="false" outlineLevel="0" collapsed="false">
      <c r="A13" s="28" t="s">
        <v>57</v>
      </c>
      <c r="B13" s="9" t="n">
        <v>17</v>
      </c>
      <c r="C13" s="9" t="n">
        <v>12512</v>
      </c>
      <c r="D13" s="9" t="n">
        <v>7</v>
      </c>
      <c r="E13" s="9" t="n">
        <f aca="false">IFERROR(C13/B13,0)</f>
        <v>736</v>
      </c>
      <c r="F13" s="13" t="n">
        <f aca="false">IFERROR(D13/C13*1000,0)</f>
        <v>0.559462915601023</v>
      </c>
    </row>
    <row r="14" customFormat="false" ht="15" hidden="false" customHeight="false" outlineLevel="0" collapsed="false">
      <c r="A14" s="28" t="s">
        <v>75</v>
      </c>
      <c r="B14" s="9" t="n">
        <v>19</v>
      </c>
      <c r="C14" s="9" t="n">
        <v>16416</v>
      </c>
      <c r="D14" s="9" t="n">
        <v>11</v>
      </c>
      <c r="E14" s="9" t="n">
        <f aca="false">IFERROR(C14/B14,0)</f>
        <v>864</v>
      </c>
      <c r="F14" s="13" t="n">
        <f aca="false">IFERROR(D14/C14*1000,0)</f>
        <v>0.670077972709552</v>
      </c>
    </row>
    <row r="15" customFormat="false" ht="15" hidden="false" customHeight="false" outlineLevel="0" collapsed="false">
      <c r="A15" s="28" t="s">
        <v>128</v>
      </c>
      <c r="B15" s="9" t="n">
        <v>18</v>
      </c>
      <c r="C15" s="9" t="n">
        <v>5070</v>
      </c>
      <c r="D15" s="9" t="n">
        <v>1</v>
      </c>
      <c r="E15" s="9" t="n">
        <f aca="false">IFERROR(C15/B15,0)</f>
        <v>281.666666666667</v>
      </c>
      <c r="F15" s="13" t="n">
        <f aca="false">IFERROR(D15/C15*1000,0)</f>
        <v>0.19723865877712</v>
      </c>
    </row>
    <row r="16" customFormat="false" ht="15" hidden="false" customHeight="false" outlineLevel="0" collapsed="false">
      <c r="A16" s="28" t="s">
        <v>312</v>
      </c>
      <c r="B16" s="9" t="n">
        <v>18</v>
      </c>
      <c r="C16" s="9" t="n">
        <v>0</v>
      </c>
      <c r="D16" s="9" t="n">
        <v>0</v>
      </c>
      <c r="E16" s="9" t="n">
        <f aca="false">IFERROR(C16/B16,0)</f>
        <v>0</v>
      </c>
      <c r="F16" s="13" t="n">
        <f aca="false">IFERROR(D16/C16*1000,0)</f>
        <v>0</v>
      </c>
    </row>
    <row r="17" customFormat="false" ht="15" hidden="false" customHeight="false" outlineLevel="0" collapsed="false">
      <c r="A17" s="28" t="s">
        <v>297</v>
      </c>
      <c r="B17" s="9" t="n">
        <v>14</v>
      </c>
      <c r="C17" s="9" t="n">
        <v>0</v>
      </c>
      <c r="D17" s="9" t="n">
        <v>0</v>
      </c>
      <c r="E17" s="9" t="n">
        <f aca="false">IFERROR(C17/B17,0)</f>
        <v>0</v>
      </c>
      <c r="F17" s="13" t="n">
        <f aca="false">IFERROR(D17/C17*1000,0)</f>
        <v>0</v>
      </c>
    </row>
    <row r="18" customFormat="false" ht="15" hidden="false" customHeight="false" outlineLevel="0" collapsed="false">
      <c r="A18" s="33" t="s">
        <v>394</v>
      </c>
      <c r="B18" s="34" t="n">
        <v>0</v>
      </c>
      <c r="C18" s="35" t="n">
        <v>0</v>
      </c>
      <c r="D18" s="35" t="n">
        <v>0</v>
      </c>
      <c r="E18" s="35" t="n">
        <v>0</v>
      </c>
      <c r="F18" s="35" t="n">
        <v>0</v>
      </c>
      <c r="G18" s="36" t="s">
        <v>395</v>
      </c>
    </row>
    <row r="19" customFormat="false" ht="15" hidden="false" customHeight="false" outlineLevel="0" collapsed="false">
      <c r="A19" s="33" t="s">
        <v>396</v>
      </c>
      <c r="B19" s="34" t="n">
        <v>0</v>
      </c>
      <c r="C19" s="35" t="n">
        <v>0</v>
      </c>
      <c r="D19" s="35" t="n">
        <v>0</v>
      </c>
      <c r="E19" s="35" t="n">
        <v>0</v>
      </c>
      <c r="F19" s="35" t="n">
        <v>0</v>
      </c>
    </row>
    <row r="20" customFormat="false" ht="15" hidden="false" customHeight="false" outlineLevel="0" collapsed="false">
      <c r="A20" s="33" t="s">
        <v>397</v>
      </c>
      <c r="B20" s="34" t="n">
        <v>0</v>
      </c>
      <c r="C20" s="35" t="n">
        <v>0</v>
      </c>
      <c r="D20" s="35" t="n">
        <v>0</v>
      </c>
      <c r="E20" s="35" t="n">
        <v>0</v>
      </c>
      <c r="F20" s="35" t="n">
        <v>0</v>
      </c>
    </row>
    <row r="21" customFormat="false" ht="15" hidden="false" customHeight="false" outlineLevel="0" collapsed="false">
      <c r="A21" s="33" t="s">
        <v>398</v>
      </c>
      <c r="B21" s="34" t="n">
        <v>0</v>
      </c>
      <c r="C21" s="35" t="n">
        <v>0</v>
      </c>
      <c r="D21" s="35" t="n">
        <v>0</v>
      </c>
      <c r="E21" s="35" t="n">
        <v>0</v>
      </c>
      <c r="F21" s="35" t="n">
        <v>0</v>
      </c>
    </row>
    <row r="22" customFormat="false" ht="15" hidden="false" customHeight="false" outlineLevel="0" collapsed="false">
      <c r="A22" s="33" t="s">
        <v>399</v>
      </c>
      <c r="B22" s="34" t="n">
        <v>0</v>
      </c>
      <c r="C22" s="35" t="n">
        <v>0</v>
      </c>
      <c r="D22" s="35" t="n">
        <v>0</v>
      </c>
      <c r="E22" s="35" t="n">
        <v>0</v>
      </c>
      <c r="F22" s="35" t="n">
        <v>0</v>
      </c>
    </row>
    <row r="24" customFormat="false" ht="15" hidden="false" customHeight="false" outlineLevel="0" collapsed="false">
      <c r="A24" s="6" t="s">
        <v>400</v>
      </c>
    </row>
    <row r="25" customFormat="false" ht="27.75" hidden="false" customHeight="true" outlineLevel="0" collapsed="false">
      <c r="A25" s="7" t="s">
        <v>401</v>
      </c>
      <c r="B25" s="7" t="s">
        <v>390</v>
      </c>
      <c r="C25" s="7" t="s">
        <v>391</v>
      </c>
      <c r="D25" s="7" t="s">
        <v>392</v>
      </c>
      <c r="E25" s="7" t="s">
        <v>25</v>
      </c>
      <c r="F25" s="7" t="s">
        <v>402</v>
      </c>
    </row>
    <row r="26" customFormat="false" ht="15" hidden="false" customHeight="false" outlineLevel="0" collapsed="false">
      <c r="A26" s="10" t="s">
        <v>403</v>
      </c>
      <c r="B26" s="9" t="n">
        <f aca="false">SUM($B$11:$B$17)</f>
        <v>94</v>
      </c>
      <c r="C26" s="9" t="n">
        <f aca="false">SUM($C$11:$C$17)</f>
        <v>41488</v>
      </c>
      <c r="D26" s="9" t="n">
        <f aca="false">SUM($D$11:$D$17)</f>
        <v>28</v>
      </c>
      <c r="E26" s="13" t="n">
        <f aca="false">IFERROR(D26/C26*1000,0)</f>
        <v>0.674893945237177</v>
      </c>
      <c r="F26" s="12" t="s">
        <v>404</v>
      </c>
    </row>
    <row r="27" customFormat="false" ht="15" hidden="false" customHeight="false" outlineLevel="0" collapsed="false">
      <c r="A27" s="37" t="s">
        <v>405</v>
      </c>
      <c r="B27" s="34" t="n">
        <v>0</v>
      </c>
      <c r="C27" s="34" t="n">
        <v>0</v>
      </c>
      <c r="D27" s="34" t="n">
        <v>0</v>
      </c>
      <c r="E27" s="38" t="n">
        <v>0</v>
      </c>
      <c r="F27" s="39" t="s">
        <v>406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2026-09-13T01:28:17Z</dcterms:created>
  <dc:creator>openpyxl</dc:creator>
  <dc:description/>
  <dc:language>en-US</dc:language>
  <cp:lastModifiedBy/>
  <dcterms:modified xsi:type="dcterms:W3CDTF">2026-09-13T01:28:17Z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