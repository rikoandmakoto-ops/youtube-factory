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definedNames>
    <definedName function="false" hidden="true" localSheetId="2" name="_xlnm._FilterDatabase" vbProcedure="false">動画別パフォーマンス!$A$3:$L$141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orchestrator</author>
  </authors>
  <commentList>
    <comment ref="I12" authorId="0">
      <text>
        <r>
          <rPr>
            <sz val="10"/>
            <rFont val="Noto Sans CJK SC"/>
            <family val="2"/>
          </rPr>
          <t xml:space="preserve">至上目標であるチャンネル登録者に対する全社ボトルネック指標。
</t>
        </r>
        <r>
          <rPr>
            <sz val="10"/>
            <rFont val="Arial"/>
            <family val="2"/>
          </rPr>
          <t xml:space="preserve">1,000</t>
        </r>
        <r>
          <rPr>
            <sz val="10"/>
            <rFont val="Noto Sans CJK SC"/>
            <family val="2"/>
          </rPr>
          <t xml:space="preserve">再生あたり登録者に換算すると約</t>
        </r>
        <r>
          <rPr>
            <sz val="10"/>
            <rFont val="Arial"/>
            <family val="2"/>
          </rPr>
          <t xml:space="preserve">0.4</t>
        </r>
        <r>
          <rPr>
            <sz val="10"/>
            <rFont val="Noto Sans CJK SC"/>
            <family val="2"/>
          </rPr>
          <t xml:space="preserve">人。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orchestrator</author>
  </authors>
  <commentList>
    <comment ref="I4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  <comment ref="I5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  <comment ref="I6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  <comment ref="I7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  <comment ref="I8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  <comment ref="I9" authorId="0">
      <text>
        <r>
          <rPr>
            <sz val="10"/>
            <rFont val="Noto Sans CJK SC"/>
            <family val="2"/>
          </rPr>
          <t xml:space="preserve">サムネクリック数 </t>
        </r>
        <r>
          <rPr>
            <sz val="10"/>
            <rFont val="Arial"/>
            <family val="2"/>
          </rPr>
          <t xml:space="preserve">÷ 7</t>
        </r>
        <r>
          <rPr>
            <sz val="10"/>
            <rFont val="Noto Sans CJK SC"/>
            <family val="2"/>
          </rPr>
          <t xml:space="preserve">日増分再生。
この比率が示すのは、総再生のうちサムネ経由で獲得できている割合。
全</t>
        </r>
        <r>
          <rPr>
            <sz val="10"/>
            <rFont val="Arial"/>
            <family val="2"/>
          </rPr>
          <t xml:space="preserve">ch</t>
        </r>
        <r>
          <rPr>
            <sz val="10"/>
            <rFont val="Noto Sans CJK SC"/>
            <family val="2"/>
          </rPr>
          <t xml:space="preserve">数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に留まり、残りはショートフィードからの流入。</t>
        </r>
      </text>
    </comment>
  </commentList>
</comments>
</file>

<file path=xl/sharedStrings.xml><?xml version="1.0" encoding="utf-8"?>
<sst xmlns="http://schemas.openxmlformats.org/spreadsheetml/2006/main" count="771" uniqueCount="334">
  <si>
    <r>
      <rPr>
        <b val="true"/>
        <sz val="14"/>
        <color rgb="FF1F3864"/>
        <rFont val="Arial"/>
        <family val="0"/>
        <charset val="1"/>
      </rPr>
      <t xml:space="preserve">YouTube Factory </t>
    </r>
    <r>
      <rPr>
        <b val="true"/>
        <sz val="14"/>
        <color rgb="FF1F3864"/>
        <rFont val="Noto Sans CJK SC"/>
        <family val="2"/>
      </rPr>
      <t xml:space="preserve">指揮者レポート </t>
    </r>
    <r>
      <rPr>
        <b val="true"/>
        <sz val="14"/>
        <color rgb="FF1F3864"/>
        <rFont val="Arial"/>
        <family val="0"/>
        <charset val="1"/>
      </rPr>
      <t xml:space="preserve">2026-09-02</t>
    </r>
  </si>
  <si>
    <r>
      <rPr>
        <i val="true"/>
        <sz val="9"/>
        <color rgb="FF666666"/>
        <rFont val="Noto Sans CJK SC"/>
        <family val="2"/>
      </rPr>
      <t xml:space="preserve">分析対象</t>
    </r>
    <r>
      <rPr>
        <i val="true"/>
        <sz val="9"/>
        <color rgb="FF666666"/>
        <rFont val="Arial"/>
        <family val="0"/>
        <charset val="1"/>
      </rPr>
      <t xml:space="preserve">: data/analytics/analytics.db / </t>
    </r>
    <r>
      <rPr>
        <i val="true"/>
        <sz val="9"/>
        <color rgb="FF666666"/>
        <rFont val="Noto Sans CJK SC"/>
        <family val="2"/>
      </rPr>
      <t xml:space="preserve">直近コホート </t>
    </r>
    <r>
      <rPr>
        <i val="true"/>
        <sz val="9"/>
        <color rgb="FF666666"/>
        <rFont val="Arial"/>
        <family val="0"/>
        <charset val="1"/>
      </rPr>
      <t xml:space="preserve">published_at&gt;=2026-08-10</t>
    </r>
    <r>
      <rPr>
        <i val="true"/>
        <sz val="9"/>
        <color rgb="FF666666"/>
        <rFont val="Noto Sans CJK SC"/>
        <family val="2"/>
      </rPr>
      <t xml:space="preserve">・再生</t>
    </r>
    <r>
      <rPr>
        <i val="true"/>
        <sz val="9"/>
        <color rgb="FF666666"/>
        <rFont val="Arial"/>
        <family val="0"/>
        <charset val="1"/>
      </rPr>
      <t xml:space="preserve">150</t>
    </r>
    <r>
      <rPr>
        <i val="true"/>
        <sz val="9"/>
        <color rgb="FF666666"/>
        <rFont val="Noto Sans CJK SC"/>
        <family val="2"/>
      </rPr>
      <t xml:space="preserve">超 </t>
    </r>
    <r>
      <rPr>
        <i val="true"/>
        <sz val="9"/>
        <color rgb="FF666666"/>
        <rFont val="Arial"/>
        <family val="0"/>
        <charset val="1"/>
      </rPr>
      <t xml:space="preserve">(n=138</t>
    </r>
    <r>
      <rPr>
        <i val="true"/>
        <sz val="9"/>
        <color rgb="FF666666"/>
        <rFont val="Noto Sans CJK SC"/>
        <family val="2"/>
      </rPr>
      <t xml:space="preserve">本</t>
    </r>
    <r>
      <rPr>
        <i val="true"/>
        <sz val="9"/>
        <color rgb="FF666666"/>
        <rFont val="Arial"/>
        <family val="0"/>
        <charset val="1"/>
      </rPr>
      <t xml:space="preserve">) / </t>
    </r>
    <r>
      <rPr>
        <i val="true"/>
        <sz val="9"/>
        <color rgb="FF666666"/>
        <rFont val="Noto Sans CJK SC"/>
        <family val="2"/>
      </rPr>
      <t xml:space="preserve">実績スナップショット最新 </t>
    </r>
    <r>
      <rPr>
        <i val="true"/>
        <sz val="9"/>
        <color rgb="FF666666"/>
        <rFont val="Arial"/>
        <family val="0"/>
        <charset val="1"/>
      </rPr>
      <t xml:space="preserve">2026-08-31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company-facts </t>
    </r>
    <r>
      <rPr>
        <i val="true"/>
        <sz val="9"/>
        <color rgb="FF666666"/>
        <rFont val="Noto Sans CJK SC"/>
        <family val="2"/>
      </rPr>
      <t xml:space="preserve">のみ </t>
    </r>
    <r>
      <rPr>
        <i val="true"/>
        <sz val="9"/>
        <color rgb="FF666666"/>
        <rFont val="Arial"/>
        <family val="0"/>
        <charset val="1"/>
      </rPr>
      <t xml:space="preserve">09-01</t>
    </r>
    <r>
      <rPr>
        <i val="true"/>
        <sz val="9"/>
        <color rgb="FF666666"/>
        <rFont val="Noto Sans CJK SC"/>
        <family val="2"/>
      </rPr>
      <t xml:space="preserve">）</t>
    </r>
  </si>
  <si>
    <r>
      <rPr>
        <i val="true"/>
        <sz val="9"/>
        <color rgb="FF666666"/>
        <rFont val="Noto Sans CJK SC"/>
        <family val="2"/>
      </rPr>
      <t xml:space="preserve">注意</t>
    </r>
    <r>
      <rPr>
        <i val="true"/>
        <sz val="9"/>
        <color rgb="FF666666"/>
        <rFont val="Arial"/>
        <family val="0"/>
        <charset val="1"/>
      </rPr>
      <t xml:space="preserve">: video_metrics.views </t>
    </r>
    <r>
      <rPr>
        <i val="true"/>
        <sz val="9"/>
        <color rgb="FF666666"/>
        <rFont val="Noto Sans CJK SC"/>
        <family val="2"/>
      </rPr>
      <t xml:space="preserve">は累積スナップショットのため単純合計は不可。増分は前週スナップショットとの差分で算出。</t>
    </r>
  </si>
  <si>
    <t xml:space="preserve">チャンネル</t>
  </si>
  <si>
    <t xml:space="preserve">本数</t>
  </si>
  <si>
    <t xml:space="preserve">総再生</t>
  </si>
  <si>
    <t xml:space="preserve">中央値再生</t>
  </si>
  <si>
    <t xml:space="preserve">平均維持率</t>
  </si>
  <si>
    <t xml:space="preserve">平均視聴秒</t>
  </si>
  <si>
    <t xml:space="preserve">推定尺</t>
  </si>
  <si>
    <t xml:space="preserve">登録者</t>
  </si>
  <si>
    <t xml:space="preserve">登録転換率</t>
  </si>
  <si>
    <t xml:space="preserve">高評価率</t>
  </si>
  <si>
    <t xml:space="preserve">判定</t>
  </si>
  <si>
    <t xml:space="preserve">デイリーサイエンス</t>
  </si>
  <si>
    <t xml:space="preserve">維持率が改善余地</t>
  </si>
  <si>
    <r>
      <rPr>
        <b val="true"/>
        <sz val="10"/>
        <rFont val="Arial"/>
        <family val="0"/>
        <charset val="1"/>
      </rPr>
      <t xml:space="preserve">SCP</t>
    </r>
    <r>
      <rPr>
        <b val="true"/>
        <sz val="10"/>
        <rFont val="Noto Sans CJK SC"/>
        <family val="2"/>
      </rPr>
      <t xml:space="preserve">研究所</t>
    </r>
  </si>
  <si>
    <r>
      <rPr>
        <b val="true"/>
        <sz val="10"/>
        <rFont val="Arial"/>
        <family val="0"/>
        <charset val="1"/>
      </rPr>
      <t xml:space="preserve">2ch</t>
    </r>
    <r>
      <rPr>
        <b val="true"/>
        <sz val="10"/>
        <rFont val="Noto Sans CJK SC"/>
        <family val="2"/>
      </rPr>
      <t xml:space="preserve">まとめ</t>
    </r>
  </si>
  <si>
    <t xml:space="preserve">登録動線が機能していない</t>
  </si>
  <si>
    <t xml:space="preserve">ポケモン研究所</t>
  </si>
  <si>
    <t xml:space="preserve">妖怪ファイル</t>
  </si>
  <si>
    <t xml:space="preserve">企業のホンネ</t>
  </si>
  <si>
    <t xml:space="preserve">最良。増産の第一候補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</si>
  <si>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加重平均</t>
    </r>
  </si>
  <si>
    <t xml:space="preserve">本日の結論（実測ベース）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</si>
  <si>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登録転換の実質的なドライバは「絶対視聴秒」。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秒以上視聴された動画は登録転換</t>
    </r>
    <r>
      <rPr>
        <sz val="10"/>
        <rFont val="Arial"/>
        <family val="0"/>
        <charset val="1"/>
      </rPr>
      <t xml:space="preserve">0.061%</t>
    </r>
    <r>
      <rPr>
        <sz val="10"/>
        <rFont val="Noto Sans CJK SC"/>
        <family val="2"/>
      </rPr>
      <t xml:space="preserve">で、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秒未満</t>
    </r>
    <r>
      <rPr>
        <sz val="10"/>
        <rFont val="Arial"/>
        <family val="0"/>
        <charset val="1"/>
      </rPr>
      <t xml:space="preserve">(0.031%)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</si>
  <si>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維持率</t>
    </r>
    <r>
      <rPr>
        <sz val="10"/>
        <rFont val="Arial"/>
        <family val="0"/>
        <charset val="1"/>
      </rPr>
      <t xml:space="preserve">(AVP)</t>
    </r>
    <r>
      <rPr>
        <sz val="10"/>
        <rFont val="Noto Sans CJK SC"/>
        <family val="2"/>
      </rPr>
      <t xml:space="preserve">は単独では判断材料にならない。尺に交絡するため。</t>
    </r>
  </si>
  <si>
    <r>
      <rPr>
        <sz val="10"/>
        <rFont val="Noto Sans CJK SC"/>
        <family val="2"/>
      </rPr>
      <t xml:space="preserve">   例</t>
    </r>
    <r>
      <rPr>
        <sz val="10"/>
        <rFont val="Arial"/>
        <family val="0"/>
        <charset val="1"/>
      </rPr>
      <t xml:space="preserve">: 2ch-matome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AVP52.4%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位）だが推定尺</t>
    </r>
    <r>
      <rPr>
        <sz val="10"/>
        <rFont val="Arial"/>
        <family val="0"/>
        <charset val="1"/>
      </rPr>
      <t xml:space="preserve">30.7</t>
    </r>
    <r>
      <rPr>
        <sz val="10"/>
        <rFont val="Noto Sans CJK SC"/>
        <family val="2"/>
      </rPr>
      <t xml:space="preserve">秒（最短）によるもので、視聴</t>
    </r>
    <r>
      <rPr>
        <sz val="10"/>
        <rFont val="Arial"/>
        <family val="0"/>
        <charset val="1"/>
      </rPr>
      <t xml:space="preserve">15.6</t>
    </r>
    <r>
      <rPr>
        <sz val="10"/>
        <rFont val="Noto Sans CJK SC"/>
        <family val="2"/>
      </rPr>
      <t xml:space="preserve">秒・登録転換</t>
    </r>
    <r>
      <rPr>
        <sz val="10"/>
        <rFont val="Arial"/>
        <family val="0"/>
        <charset val="1"/>
      </rPr>
      <t xml:space="preserve">0.016%</t>
    </r>
    <r>
      <rPr>
        <sz val="10"/>
        <rFont val="Noto Sans CJK SC"/>
        <family val="2"/>
      </rPr>
      <t xml:space="preserve">（最下位）。</t>
    </r>
  </si>
  <si>
    <r>
      <rPr>
        <sz val="10"/>
        <rFont val="Arial"/>
        <family val="0"/>
        <charset val="1"/>
      </rPr>
      <t xml:space="preserve">3. company-facts </t>
    </r>
    <r>
      <rPr>
        <sz val="10"/>
        <rFont val="Noto Sans CJK SC"/>
        <family val="2"/>
      </rPr>
      <t xml:space="preserve">だけが例外的に強い。推定尺</t>
    </r>
    <r>
      <rPr>
        <sz val="10"/>
        <rFont val="Arial"/>
        <family val="0"/>
        <charset val="1"/>
      </rPr>
      <t xml:space="preserve">55.5</t>
    </r>
    <r>
      <rPr>
        <sz val="10"/>
        <rFont val="Noto Sans CJK SC"/>
        <family val="2"/>
      </rPr>
      <t xml:space="preserve">秒（最長）を</t>
    </r>
    <r>
      <rPr>
        <sz val="10"/>
        <rFont val="Arial"/>
        <family val="0"/>
        <charset val="1"/>
      </rPr>
      <t xml:space="preserve">AVP58.5%</t>
    </r>
    <r>
      <rPr>
        <sz val="10"/>
        <rFont val="Noto Sans CJK SC"/>
        <family val="2"/>
      </rPr>
      <t xml:space="preserve">で維持し、視聴</t>
    </r>
    <r>
      <rPr>
        <sz val="10"/>
        <rFont val="Arial"/>
        <family val="0"/>
        <charset val="1"/>
      </rPr>
      <t xml:space="preserve">33.9</t>
    </r>
    <r>
      <rPr>
        <sz val="10"/>
        <rFont val="Noto Sans CJK SC"/>
        <family val="2"/>
      </rPr>
      <t xml:space="preserve">秒＝他</t>
    </r>
    <r>
      <rPr>
        <sz val="10"/>
        <rFont val="Arial"/>
        <family val="0"/>
        <charset val="1"/>
      </rPr>
      <t xml:space="preserve">ch(14.8-17.3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倍。登録転換</t>
    </r>
    <r>
      <rPr>
        <sz val="10"/>
        <rFont val="Arial"/>
        <family val="0"/>
        <charset val="1"/>
      </rPr>
      <t xml:space="preserve">0.076%</t>
    </r>
    <r>
      <rPr>
        <sz val="10"/>
        <rFont val="Noto Sans CJK SC"/>
        <family val="2"/>
      </rPr>
      <t xml:space="preserve">も最良。</t>
    </r>
  </si>
  <si>
    <r>
      <rPr>
        <sz val="10"/>
        <rFont val="Arial"/>
        <family val="0"/>
        <charset val="1"/>
      </rPr>
      <t xml:space="preserve">4. company-facts </t>
    </r>
    <r>
      <rPr>
        <sz val="10"/>
        <rFont val="Noto Sans CJK SC"/>
        <family val="2"/>
      </rPr>
      <t xml:space="preserve">の設定上の唯一の差分は読み上げ速度 </t>
    </r>
    <r>
      <rPr>
        <sz val="10"/>
        <rFont val="Arial"/>
        <family val="0"/>
        <charset val="1"/>
      </rPr>
      <t xml:space="preserve">speed=1.2</t>
    </r>
    <r>
      <rPr>
        <sz val="10"/>
        <rFont val="Noto Sans CJK SC"/>
        <family val="2"/>
      </rPr>
      <t xml:space="preserve">（他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1.3-1.35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</si>
  <si>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   → 本日 </t>
    </r>
    <r>
      <rPr>
        <sz val="10"/>
        <rFont val="Arial"/>
        <family val="0"/>
        <charset val="1"/>
      </rPr>
      <t xml:space="preserve">daily-science/scp-lab/pokemon-lab/yokai-watch 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1.2</t>
    </r>
    <r>
      <rPr>
        <sz val="10"/>
        <rFont val="Noto Sans CJK SC"/>
        <family val="2"/>
      </rPr>
      <t xml:space="preserve">へ、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1.25</t>
    </r>
    <r>
      <rPr>
        <sz val="10"/>
        <rFont val="Noto Sans CJK SC"/>
        <family val="2"/>
      </rPr>
      <t xml:space="preserve">へ変更。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は対照群として据え置き。</t>
    </r>
  </si>
  <si>
    <r>
      <rPr>
        <sz val="10"/>
        <rFont val="Noto Sans CJK SC"/>
        <family val="2"/>
      </rPr>
      <t xml:space="preserve">   ※ これは確定的な改善ではなく仮説検証。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は尺も最長であり速度単独の効果とは分離できていない。</t>
    </r>
  </si>
  <si>
    <r>
      <rPr>
        <sz val="10"/>
        <rFont val="Noto Sans CJK SC"/>
        <family val="2"/>
      </rPr>
      <t xml:space="preserve">     反証条件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変更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の絶対視聴秒が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日以内に改善しなければ </t>
    </r>
    <r>
      <rPr>
        <sz val="10"/>
        <rFont val="Arial"/>
        <family val="0"/>
        <charset val="1"/>
      </rPr>
      <t xml:space="preserve">speed </t>
    </r>
    <r>
      <rPr>
        <sz val="10"/>
        <rFont val="Noto Sans CJK SC"/>
        <family val="2"/>
      </rPr>
      <t xml:space="preserve">を元の値へ戻す。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</si>
  <si>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ナンバリング型タイトルは</t>
    </r>
    <r>
      <rPr>
        <sz val="10"/>
        <rFont val="Arial"/>
        <family val="0"/>
        <charset val="1"/>
      </rPr>
      <t xml:space="preserve">AVP33.3%</t>
    </r>
    <r>
      <rPr>
        <sz val="10"/>
        <rFont val="Noto Sans CJK SC"/>
        <family val="2"/>
      </rPr>
      <t xml:space="preserve">、自然文は</t>
    </r>
    <r>
      <rPr>
        <sz val="10"/>
        <rFont val="Arial"/>
        <family val="0"/>
        <charset val="1"/>
      </rPr>
      <t xml:space="preserve">52.3%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08-31</t>
    </r>
    <r>
      <rPr>
        <sz val="10"/>
        <rFont val="Noto Sans CJK SC"/>
        <family val="2"/>
      </rPr>
      <t xml:space="preserve">適用の禁止ルールは有効（</t>
    </r>
    <r>
      <rPr>
        <sz val="10"/>
        <rFont val="Arial"/>
        <family val="0"/>
        <charset val="1"/>
      </rPr>
      <t xml:space="preserve">08-31</t>
    </r>
    <r>
      <rPr>
        <sz val="10"/>
        <rFont val="Noto Sans CJK SC"/>
        <family val="2"/>
      </rPr>
      <t xml:space="preserve">公開分 </t>
    </r>
    <r>
      <rPr>
        <sz val="10"/>
        <rFont val="Arial"/>
        <family val="0"/>
        <charset val="1"/>
      </rPr>
      <t xml:space="preserve">0/7</t>
    </r>
    <r>
      <rPr>
        <sz val="10"/>
        <rFont val="Noto Sans CJK SC"/>
        <family val="2"/>
      </rPr>
      <t xml:space="preserve">本）。維持。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</si>
  <si>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流入のほぼ全てがショートフィード。サムネ経由のインプレッションは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合計で</t>
    </r>
    <r>
      <rPr>
        <sz val="10"/>
        <rFont val="Arial"/>
        <family val="0"/>
        <charset val="1"/>
      </rPr>
      <t xml:space="preserve">18,365</t>
    </r>
    <r>
      <rPr>
        <sz val="10"/>
        <rFont val="Noto Sans CJK SC"/>
        <family val="2"/>
      </rPr>
      <t xml:space="preserve">に対し実再生は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万超。</t>
    </r>
  </si>
  <si>
    <r>
      <rPr>
        <sz val="10"/>
        <rFont val="Noto Sans CJK SC"/>
        <family val="2"/>
      </rPr>
      <t xml:space="preserve">   → サムネ最優先の運用方針は費用対効果が低い。改善原資はフック・維持率・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に配分すべき（方針変更は要判断・未実施）。</t>
    </r>
  </si>
  <si>
    <r>
      <rPr>
        <sz val="10"/>
        <rFont val="Arial"/>
        <family val="0"/>
        <charset val="1"/>
      </rPr>
      <t xml:space="preserve">7. scp-lab </t>
    </r>
    <r>
      <rPr>
        <sz val="10"/>
        <rFont val="Noto Sans CJK SC"/>
        <family val="2"/>
      </rPr>
      <t xml:space="preserve">のテーマキューが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本＝本日の制作が停止する状態だった。全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へ計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テーマを補充済み。</t>
    </r>
  </si>
  <si>
    <r>
      <rPr>
        <sz val="10"/>
        <rFont val="Arial"/>
        <family val="0"/>
        <charset val="1"/>
      </rPr>
      <t xml:space="preserve">8. 2ch-matome </t>
    </r>
    <r>
      <rPr>
        <sz val="10"/>
        <rFont val="Noto Sans CJK SC"/>
        <family val="2"/>
      </rPr>
      <t xml:space="preserve">は登録転換率</t>
    </r>
    <r>
      <rPr>
        <sz val="10"/>
        <rFont val="Arial"/>
        <family val="0"/>
        <charset val="1"/>
      </rPr>
      <t xml:space="preserve">0.016%</t>
    </r>
    <r>
      <rPr>
        <sz val="10"/>
        <rFont val="Noto Sans CJK SC"/>
        <family val="2"/>
      </rPr>
      <t xml:space="preserve">で全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最下位（最良の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1/5</t>
    </r>
    <r>
      <rPr>
        <sz val="10"/>
        <rFont val="Noto Sans CJK SC"/>
        <family val="2"/>
      </rPr>
      <t xml:space="preserve">）。エンドカードを登録訴求型に変更した。</t>
    </r>
  </si>
  <si>
    <r>
      <rPr>
        <b val="true"/>
        <sz val="14"/>
        <color rgb="FF1F3864"/>
        <rFont val="Noto Sans CJK SC"/>
        <family val="2"/>
      </rPr>
      <t xml:space="preserve">チャンネル別詳細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適用した変更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</si>
  <si>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日増分再生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</si>
  <si>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日増分高評価</t>
    </r>
  </si>
  <si>
    <t xml:space="preserve">維持率</t>
  </si>
  <si>
    <r>
      <rPr>
        <b val="true"/>
        <sz val="10"/>
        <color rgb="FFFFFFFF"/>
        <rFont val="Noto Sans CJK SC"/>
        <family val="2"/>
      </rPr>
      <t xml:space="preserve">サムネ</t>
    </r>
    <r>
      <rPr>
        <b val="true"/>
        <sz val="10"/>
        <color rgb="FFFFFFFF"/>
        <rFont val="Arial"/>
        <family val="0"/>
        <charset val="1"/>
      </rPr>
      <t xml:space="preserve">imp</t>
    </r>
  </si>
  <si>
    <r>
      <rPr>
        <b val="true"/>
        <sz val="10"/>
        <color rgb="FFFFFFFF"/>
        <rFont val="Noto Sans CJK SC"/>
        <family val="2"/>
      </rPr>
      <t xml:space="preserve">サムネ</t>
    </r>
    <r>
      <rPr>
        <b val="true"/>
        <sz val="10"/>
        <color rgb="FFFFFFFF"/>
        <rFont val="Arial"/>
        <family val="0"/>
        <charset val="1"/>
      </rPr>
      <t xml:space="preserve">click</t>
    </r>
  </si>
  <si>
    <r>
      <rPr>
        <b val="true"/>
        <sz val="10"/>
        <color rgb="FFFFFFFF"/>
        <rFont val="Noto Sans CJK SC"/>
        <family val="2"/>
      </rPr>
      <t xml:space="preserve">サムネ</t>
    </r>
    <r>
      <rPr>
        <b val="true"/>
        <sz val="10"/>
        <color rgb="FFFFFFFF"/>
        <rFont val="Arial"/>
        <family val="0"/>
        <charset val="1"/>
      </rPr>
      <t xml:space="preserve">CTR</t>
    </r>
  </si>
  <si>
    <t xml:space="preserve">サムネ流入比率</t>
  </si>
  <si>
    <t xml:space="preserve">キュー本数</t>
  </si>
  <si>
    <r>
      <rPr>
        <b val="true"/>
        <sz val="10"/>
        <color rgb="FFFFFFFF"/>
        <rFont val="Arial"/>
        <family val="0"/>
        <charset val="1"/>
      </rPr>
      <t xml:space="preserve">speed </t>
    </r>
    <r>
      <rPr>
        <b val="true"/>
        <sz val="10"/>
        <color rgb="FFFFFFFF"/>
        <rFont val="Noto Sans CJK SC"/>
        <family val="2"/>
      </rPr>
      <t xml:space="preserve">変更前</t>
    </r>
  </si>
  <si>
    <r>
      <rPr>
        <b val="true"/>
        <sz val="10"/>
        <color rgb="FFFFFFFF"/>
        <rFont val="Arial"/>
        <family val="0"/>
        <charset val="1"/>
      </rPr>
      <t xml:space="preserve">speed </t>
    </r>
    <r>
      <rPr>
        <b val="true"/>
        <sz val="10"/>
        <color rgb="FFFFFFFF"/>
        <rFont val="Noto Sans CJK SC"/>
        <family val="2"/>
      </rPr>
      <t xml:space="preserve">変更後</t>
    </r>
  </si>
  <si>
    <t xml:space="preserve">本日の変更</t>
  </si>
  <si>
    <r>
      <rPr>
        <sz val="10"/>
        <rFont val="Arial"/>
        <family val="0"/>
        <charset val="1"/>
      </rPr>
      <t xml:space="preserve">speed 1.3→1.2 / </t>
    </r>
    <r>
      <rPr>
        <sz val="10"/>
        <rFont val="Noto Sans CJK SC"/>
        <family val="2"/>
      </rPr>
      <t xml:space="preserve">答えの遅延ルール追加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テーマ</t>
    </r>
    <r>
      <rPr>
        <sz val="10"/>
        <rFont val="Arial"/>
        <family val="0"/>
        <charset val="1"/>
      </rPr>
      <t xml:space="preserve">+8</t>
    </r>
  </si>
  <si>
    <r>
      <rPr>
        <sz val="10"/>
        <rFont val="Arial"/>
        <family val="0"/>
        <charset val="1"/>
      </rPr>
      <t xml:space="preserve">speed 1.3→1.2 / </t>
    </r>
    <r>
      <rPr>
        <sz val="10"/>
        <rFont val="Noto Sans CJK SC"/>
        <family val="2"/>
      </rPr>
      <t xml:space="preserve">答えの遅延ルール追加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テーマ</t>
    </r>
    <r>
      <rPr>
        <sz val="10"/>
        <rFont val="Arial"/>
        <family val="0"/>
        <charset val="1"/>
      </rPr>
      <t xml:space="preserve">+12</t>
    </r>
    <r>
      <rPr>
        <sz val="10"/>
        <rFont val="Noto Sans CJK SC"/>
        <family val="2"/>
      </rPr>
      <t xml:space="preserve">（キュー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本の枯渇を解消）</t>
    </r>
  </si>
  <si>
    <r>
      <rPr>
        <sz val="10"/>
        <rFont val="Arial"/>
        <family val="0"/>
        <charset val="1"/>
      </rPr>
      <t xml:space="preserve">speed 1.35→1.25 / </t>
    </r>
    <r>
      <rPr>
        <sz val="10"/>
        <rFont val="Noto Sans CJK SC"/>
        <family val="2"/>
      </rPr>
      <t xml:space="preserve">エンドカードを登録訴求型に変更</t>
    </r>
  </si>
  <si>
    <r>
      <rPr>
        <sz val="10"/>
        <rFont val="Arial"/>
        <family val="0"/>
        <charset val="1"/>
      </rPr>
      <t xml:space="preserve">speed 1.3→1.2 / </t>
    </r>
    <r>
      <rPr>
        <sz val="10"/>
        <rFont val="Noto Sans CJK SC"/>
        <family val="2"/>
      </rPr>
      <t xml:space="preserve">答えの遅延ルール追加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テーマ</t>
    </r>
    <r>
      <rPr>
        <sz val="10"/>
        <rFont val="Arial"/>
        <family val="0"/>
        <charset val="1"/>
      </rPr>
      <t xml:space="preserve">+5</t>
    </r>
  </si>
  <si>
    <r>
      <rPr>
        <sz val="10"/>
        <rFont val="Arial"/>
        <family val="0"/>
        <charset val="1"/>
      </rPr>
      <t xml:space="preserve">speed 1.3→1.2 / </t>
    </r>
    <r>
      <rPr>
        <sz val="10"/>
        <rFont val="Noto Sans CJK SC"/>
        <family val="2"/>
      </rPr>
      <t xml:space="preserve">答えの遅延ルール追加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テーマ</t>
    </r>
    <r>
      <rPr>
        <sz val="10"/>
        <rFont val="Arial"/>
        <family val="0"/>
        <charset val="1"/>
      </rPr>
      <t xml:space="preserve">+4</t>
    </r>
  </si>
  <si>
    <r>
      <rPr>
        <sz val="10"/>
        <rFont val="Noto Sans CJK SC"/>
        <family val="2"/>
      </rPr>
      <t xml:space="preserve">テーマ</t>
    </r>
    <r>
      <rPr>
        <sz val="10"/>
        <rFont val="Arial"/>
        <family val="0"/>
        <charset val="1"/>
      </rPr>
      <t xml:space="preserve">+8</t>
    </r>
    <r>
      <rPr>
        <sz val="10"/>
        <rFont val="Noto Sans CJK SC"/>
        <family val="2"/>
      </rPr>
      <t xml:space="preserve">のみ（</t>
    </r>
    <r>
      <rPr>
        <sz val="10"/>
        <rFont val="Arial"/>
        <family val="0"/>
        <charset val="1"/>
      </rPr>
      <t xml:space="preserve">speed 1.2 </t>
    </r>
    <r>
      <rPr>
        <sz val="10"/>
        <rFont val="Noto Sans CJK SC"/>
        <family val="2"/>
      </rPr>
      <t xml:space="preserve">据え置き＝対照群）</t>
    </r>
  </si>
  <si>
    <r>
      <rPr>
        <b val="true"/>
        <sz val="10"/>
        <rFont val="Arial"/>
        <family val="0"/>
        <charset val="1"/>
      </rPr>
      <t xml:space="preserve">speed</t>
    </r>
    <r>
      <rPr>
        <b val="true"/>
        <sz val="10"/>
        <rFont val="Noto Sans CJK SC"/>
        <family val="2"/>
      </rPr>
      <t xml:space="preserve">変更の根拠と検証設計</t>
    </r>
  </si>
  <si>
    <r>
      <rPr>
        <sz val="10"/>
        <rFont val="Noto Sans CJK SC"/>
        <family val="2"/>
      </rPr>
      <t xml:space="preserve">仮説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読み上げ速度が高いほど単位時間あたりの情報密度が上がり、処理が追いつかず離脱が早まる。</t>
    </r>
  </si>
  <si>
    <r>
      <rPr>
        <sz val="10"/>
        <rFont val="Noto Sans CJK SC"/>
        <family val="2"/>
      </rPr>
      <t xml:space="preserve">根拠</t>
    </r>
    <r>
      <rPr>
        <sz val="10"/>
        <rFont val="Arial"/>
        <family val="0"/>
        <charset val="1"/>
      </rPr>
      <t xml:space="preserve">: speed=1.2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のみ 平均視聴</t>
    </r>
    <r>
      <rPr>
        <sz val="10"/>
        <rFont val="Arial"/>
        <family val="0"/>
        <charset val="1"/>
      </rPr>
      <t xml:space="preserve">33.9</t>
    </r>
    <r>
      <rPr>
        <sz val="10"/>
        <rFont val="Noto Sans CJK SC"/>
        <family val="2"/>
      </rPr>
      <t xml:space="preserve">秒＝他</t>
    </r>
    <r>
      <rPr>
        <sz val="10"/>
        <rFont val="Arial"/>
        <family val="0"/>
        <charset val="1"/>
      </rPr>
      <t xml:space="preserve">ch(14.8-17.3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倍。登録転換</t>
    </r>
    <r>
      <rPr>
        <sz val="10"/>
        <rFont val="Arial"/>
        <family val="0"/>
        <charset val="1"/>
      </rPr>
      <t xml:space="preserve">0.076%</t>
    </r>
    <r>
      <rPr>
        <sz val="10"/>
        <rFont val="Noto Sans CJK SC"/>
        <family val="2"/>
      </rPr>
      <t xml:space="preserve">も最良。</t>
    </r>
  </si>
  <si>
    <r>
      <rPr>
        <sz val="10"/>
        <rFont val="Arial"/>
        <family val="0"/>
        <charset val="1"/>
      </rPr>
      <t xml:space="preserve">      speed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と他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の間にある設定上の唯一の差分。</t>
    </r>
  </si>
  <si>
    <r>
      <rPr>
        <sz val="10"/>
        <rFont val="Noto Sans CJK SC"/>
        <family val="2"/>
      </rPr>
      <t xml:space="preserve">      絶対視聴秒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登録転換</t>
    </r>
    <r>
      <rPr>
        <sz val="10"/>
        <rFont val="Arial"/>
        <family val="0"/>
        <charset val="1"/>
      </rPr>
      <t xml:space="preserve">: 0-14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0.031% / 14-17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0.038% / 17-22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0.035% / 22</t>
    </r>
    <r>
      <rPr>
        <sz val="10"/>
        <rFont val="Noto Sans CJK SC"/>
        <family val="2"/>
      </rPr>
      <t xml:space="preserve">秒以上 </t>
    </r>
    <r>
      <rPr>
        <sz val="10"/>
        <rFont val="Arial"/>
        <family val="0"/>
        <charset val="1"/>
      </rPr>
      <t xml:space="preserve">0.061%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</si>
  <si>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留意点（この変更は確定的な改善ではなく仮説検証である）</t>
    </r>
    <r>
      <rPr>
        <sz val="10"/>
        <rFont val="Arial"/>
        <family val="0"/>
        <charset val="1"/>
      </rPr>
      <t xml:space="preserve">:</t>
    </r>
  </si>
  <si>
    <r>
      <rPr>
        <sz val="10"/>
        <rFont val="Noto Sans CJK SC"/>
        <family val="2"/>
      </rPr>
      <t xml:space="preserve">  ・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speed 1.35</t>
    </r>
    <r>
      <rPr>
        <sz val="10"/>
        <rFont val="Noto Sans CJK SC"/>
        <family val="2"/>
      </rPr>
      <t xml:space="preserve">（最速）でありながら維持率</t>
    </r>
    <r>
      <rPr>
        <sz val="10"/>
        <rFont val="Arial"/>
        <family val="0"/>
        <charset val="1"/>
      </rPr>
      <t xml:space="preserve">52.4%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位）。「速度が低いほど維持率が高い」は単純には成立しない。</t>
    </r>
  </si>
  <si>
    <r>
      <rPr>
        <sz val="10"/>
        <rFont val="Arial"/>
        <family val="0"/>
        <charset val="1"/>
      </rPr>
      <t xml:space="preserve">    2ch-matome </t>
    </r>
    <r>
      <rPr>
        <sz val="10"/>
        <rFont val="Noto Sans CJK SC"/>
        <family val="2"/>
      </rPr>
      <t xml:space="preserve">の高維持率は推定尺</t>
    </r>
    <r>
      <rPr>
        <sz val="10"/>
        <rFont val="Arial"/>
        <family val="0"/>
        <charset val="1"/>
      </rPr>
      <t xml:space="preserve">30.7</t>
    </r>
    <r>
      <rPr>
        <sz val="10"/>
        <rFont val="Noto Sans CJK SC"/>
        <family val="2"/>
      </rPr>
      <t xml:space="preserve">秒（最短）による機械的なもので、視聴</t>
    </r>
    <r>
      <rPr>
        <sz val="10"/>
        <rFont val="Arial"/>
        <family val="0"/>
        <charset val="1"/>
      </rPr>
      <t xml:space="preserve">15.6</t>
    </r>
    <r>
      <rPr>
        <sz val="10"/>
        <rFont val="Noto Sans CJK SC"/>
        <family val="2"/>
      </rPr>
      <t xml:space="preserve">秒・登録転換</t>
    </r>
    <r>
      <rPr>
        <sz val="10"/>
        <rFont val="Arial"/>
        <family val="0"/>
        <charset val="1"/>
      </rPr>
      <t xml:space="preserve">0.016%</t>
    </r>
    <r>
      <rPr>
        <sz val="10"/>
        <rFont val="Noto Sans CJK SC"/>
        <family val="2"/>
      </rPr>
      <t xml:space="preserve">（最下位）。</t>
    </r>
  </si>
  <si>
    <r>
      <rPr>
        <sz val="10"/>
        <rFont val="Noto Sans CJK SC"/>
        <family val="2"/>
      </rPr>
      <t xml:space="preserve">  ・したがって維持率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は尺に交絡する。判断は絶対視聴秒で行う。</t>
    </r>
  </si>
  <si>
    <r>
      <rPr>
        <sz val="10"/>
        <rFont val="Noto Sans CJK SC"/>
        <family val="2"/>
      </rPr>
      <t xml:space="preserve">  ・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は推定尺</t>
    </r>
    <r>
      <rPr>
        <sz val="10"/>
        <rFont val="Arial"/>
        <family val="0"/>
        <charset val="1"/>
      </rPr>
      <t xml:space="preserve">55.5</t>
    </r>
    <r>
      <rPr>
        <sz val="10"/>
        <rFont val="Noto Sans CJK SC"/>
        <family val="2"/>
      </rPr>
      <t xml:space="preserve">秒（最長）でもあり、速度単独の効果とは分離できていない。</t>
    </r>
  </si>
  <si>
    <r>
      <rPr>
        <sz val="10"/>
        <rFont val="Noto Sans CJK SC"/>
        <family val="2"/>
      </rPr>
      <t xml:space="preserve">検証</t>
    </r>
    <r>
      <rPr>
        <sz val="10"/>
        <rFont val="Arial"/>
        <family val="0"/>
        <charset val="1"/>
      </rPr>
      <t xml:space="preserve">: company-facts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speed 1.2 </t>
    </r>
    <r>
      <rPr>
        <sz val="10"/>
        <rFont val="Noto Sans CJK SC"/>
        <family val="2"/>
      </rPr>
      <t xml:space="preserve">据え置きの対照群とし、変更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の絶対視聴秒を翌日以降のコホートで比較する。</t>
    </r>
  </si>
  <si>
    <r>
      <rPr>
        <sz val="10"/>
        <rFont val="Noto Sans CJK SC"/>
        <family val="2"/>
      </rPr>
      <t xml:space="preserve">反証条件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変更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の絶対視聴秒が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日以内に改善しない場合、速度は主因ではないと判断し</t>
    </r>
  </si>
  <si>
    <r>
      <rPr>
        <sz val="10"/>
        <rFont val="Noto Sans CJK SC"/>
        <family val="2"/>
      </rPr>
      <t xml:space="preserve">          元の値（</t>
    </r>
    <r>
      <rPr>
        <sz val="10"/>
        <rFont val="Arial"/>
        <family val="0"/>
        <charset val="1"/>
      </rPr>
      <t xml:space="preserve">4ch=1.3 / 2ch-matome=1.35</t>
    </r>
    <r>
      <rPr>
        <sz val="10"/>
        <rFont val="Noto Sans CJK SC"/>
        <family val="2"/>
      </rPr>
      <t xml:space="preserve">）へ戻す。</t>
    </r>
  </si>
  <si>
    <r>
      <rPr>
        <b val="true"/>
        <sz val="14"/>
        <color rgb="FF1F3864"/>
        <rFont val="Noto Sans CJK SC"/>
        <family val="2"/>
      </rPr>
      <t xml:space="preserve">動画別パフォーマンス（</t>
    </r>
    <r>
      <rPr>
        <b val="true"/>
        <sz val="14"/>
        <color rgb="FF1F3864"/>
        <rFont val="Arial"/>
        <family val="0"/>
        <charset val="1"/>
      </rPr>
      <t xml:space="preserve">published_at&gt;=2026-08-10 / </t>
    </r>
    <r>
      <rPr>
        <b val="true"/>
        <sz val="14"/>
        <color rgb="FF1F3864"/>
        <rFont val="Noto Sans CJK SC"/>
        <family val="2"/>
      </rPr>
      <t xml:space="preserve">再生</t>
    </r>
    <r>
      <rPr>
        <b val="true"/>
        <sz val="14"/>
        <color rgb="FF1F3864"/>
        <rFont val="Arial"/>
        <family val="0"/>
        <charset val="1"/>
      </rPr>
      <t xml:space="preserve">150</t>
    </r>
    <r>
      <rPr>
        <b val="true"/>
        <sz val="14"/>
        <color rgb="FF1F3864"/>
        <rFont val="Noto Sans CJK SC"/>
        <family val="2"/>
      </rPr>
      <t xml:space="preserve">超）</t>
    </r>
  </si>
  <si>
    <t xml:space="preserve">公開日</t>
  </si>
  <si>
    <t xml:space="preserve">タイトル</t>
  </si>
  <si>
    <t xml:space="preserve">再生</t>
  </si>
  <si>
    <t xml:space="preserve">視聴秒</t>
  </si>
  <si>
    <t xml:space="preserve">高評価</t>
  </si>
  <si>
    <t xml:space="preserve">コメント</t>
  </si>
  <si>
    <t xml:space="preserve">登録</t>
  </si>
  <si>
    <t xml:space="preserve">ナンバリング</t>
  </si>
  <si>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まとめ</t>
    </r>
  </si>
  <si>
    <t xml:space="preserve">2026-08-19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</si>
  <si>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パーツ到着時、なぜ箱だけ先に届くのか？【ショート】</t>
    </r>
  </si>
  <si>
    <t xml:space="preserve">なし</t>
  </si>
  <si>
    <t xml:space="preserve">2026-08-15</t>
  </si>
  <si>
    <t xml:space="preserve">ワイ、彼女いない歴＝年齢やけど質問ある？【ショート】</t>
  </si>
  <si>
    <t xml:space="preserve">2026-08-13</t>
  </si>
  <si>
    <r>
      <rPr>
        <sz val="10"/>
        <rFont val="Noto Sans CJK SC"/>
        <family val="2"/>
      </rPr>
      <t xml:space="preserve">ワイの今日の昼飯を当てるスレ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</si>
  <si>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2026-08-14</t>
  </si>
  <si>
    <r>
      <rPr>
        <sz val="10"/>
        <rFont val="Noto Sans CJK SC"/>
        <family val="2"/>
      </rPr>
      <t xml:space="preserve">彼女の部屋でヤバい物あげてけ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</si>
  <si>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2026-08-17</t>
  </si>
  <si>
    <r>
      <rPr>
        <sz val="10"/>
        <rFont val="Noto Sans CJK SC"/>
        <family val="2"/>
      </rPr>
      <t xml:space="preserve">後輩「敬語って課金制ですよね？」→翌朝、全員が黙った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スカッと</t>
    </r>
  </si>
  <si>
    <t xml:space="preserve">2026-08-16</t>
  </si>
  <si>
    <t xml:space="preserve">なんかスマホの充電だけ遅いんやが【ショート】</t>
  </si>
  <si>
    <r>
      <rPr>
        <sz val="10"/>
        <rFont val="Noto Sans CJK SC"/>
        <family val="2"/>
      </rPr>
      <t xml:space="preserve">なんか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の画面チカチカするんやが【ショート】</t>
    </r>
  </si>
  <si>
    <r>
      <rPr>
        <sz val="10"/>
        <rFont val="Noto Sans CJK SC"/>
        <family val="2"/>
      </rPr>
      <t xml:space="preserve">絶対に二度見される部屋着あげてけ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</si>
  <si>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ワイのキーボードの変な癖あげてけ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</si>
  <si>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実際には存在しないけどありそうな県名あげてけ【ショート】</t>
  </si>
  <si>
    <t xml:space="preserve">2026-08-24</t>
  </si>
  <si>
    <r>
      <rPr>
        <sz val="10"/>
        <rFont val="Noto Sans CJK SC"/>
        <family val="2"/>
      </rPr>
      <t xml:space="preserve">味の素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粒、実は何に使うのか？意外すぎる活用法をあげてけｗ【ショート】</t>
    </r>
  </si>
  <si>
    <t xml:space="preserve">2026-08-18</t>
  </si>
  <si>
    <r>
      <rPr>
        <sz val="10"/>
        <rFont val="Noto Sans CJK SC"/>
        <family val="2"/>
      </rPr>
      <t xml:space="preserve">存在しないゲームの迷惑機能あげてけ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</si>
  <si>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2026-08-23</t>
  </si>
  <si>
    <r>
      <rPr>
        <sz val="10"/>
        <rFont val="Noto Sans CJK SC"/>
        <family val="2"/>
      </rPr>
      <t xml:space="preserve">ワイ、</t>
    </r>
    <r>
      <rPr>
        <sz val="10"/>
        <rFont val="Arial"/>
        <family val="0"/>
        <charset val="1"/>
      </rPr>
      <t xml:space="preserve">GTA6</t>
    </r>
    <r>
      <rPr>
        <sz val="10"/>
        <rFont val="Noto Sans CJK SC"/>
        <family val="2"/>
      </rPr>
      <t xml:space="preserve">妄想歴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</t>
    </r>
    <r>
      <rPr>
        <sz val="10"/>
        <rFont val="Noto Sans CJK SC"/>
        <family val="2"/>
      </rPr>
      <t xml:space="preserve">【ショート】</t>
    </r>
  </si>
  <si>
    <t xml:space="preserve">2026-08-22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</si>
  <si>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秒でバレる？お前らをブラックラグーンで例えた結果【ショート】</t>
    </r>
  </si>
  <si>
    <t xml:space="preserve">コンビニで一番いらん商品あげてけ【ショート】</t>
  </si>
  <si>
    <t xml:space="preserve">2026-08-21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</si>
  <si>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秒で考えろ！この戦闘機の名前が親戚回避型な理由とは？【ショート】</t>
    </r>
  </si>
  <si>
    <r>
      <rPr>
        <sz val="10"/>
        <rFont val="Noto Sans CJK SC"/>
        <family val="2"/>
      </rPr>
      <t xml:space="preserve">なぜ熱闘甲子園の夜だけ空気が変わる？お前らの夏の思い出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つ聞かせろ【ショート】</t>
    </r>
  </si>
  <si>
    <t xml:space="preserve">2026-08-26</t>
  </si>
  <si>
    <t xml:space="preserve">実は迷子続出？ドラゴンボールパークで何が起きたのか【ショート】</t>
  </si>
  <si>
    <t xml:space="preserve">2026-08-27</t>
  </si>
  <si>
    <r>
      <rPr>
        <sz val="10"/>
        <rFont val="Noto Sans CJK SC"/>
        <family val="2"/>
      </rPr>
      <t xml:space="preserve">🤣ワイ、大谷の昼飯を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秒で当てるスレ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</si>
  <si>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ワイ、サーモス歴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w😏</t>
    </r>
    <r>
      <rPr>
        <sz val="10"/>
        <rFont val="Noto Sans CJK SC"/>
        <family val="2"/>
      </rPr>
      <t xml:space="preserve">【ショート】</t>
    </r>
  </si>
  <si>
    <t xml:space="preserve">2026-08-28</t>
  </si>
  <si>
    <r>
      <rPr>
        <sz val="10"/>
        <rFont val="Noto Sans CJK SC"/>
        <family val="2"/>
      </rPr>
      <t xml:space="preserve">🤣ワイ、落雷を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秒で見たんやが質問ある？</t>
    </r>
    <r>
      <rPr>
        <sz val="10"/>
        <rFont val="Arial"/>
        <family val="0"/>
        <charset val="1"/>
      </rPr>
      <t xml:space="preserve">w🍑</t>
    </r>
    <r>
      <rPr>
        <sz val="10"/>
        <rFont val="Noto Sans CJK SC"/>
        <family val="2"/>
      </rPr>
      <t xml:space="preserve">【ショート】</t>
    </r>
  </si>
  <si>
    <t xml:space="preserve">2026-08-29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</si>
  <si>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PS5 Pro</t>
    </r>
    <r>
      <rPr>
        <sz val="10"/>
        <rFont val="Noto Sans CJK SC"/>
        <family val="2"/>
      </rPr>
      <t xml:space="preserve">に期待する？値段で胃が痛い理由とは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</si>
  <si>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💦ワイ、夫が寝た後の秘密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つあげてけ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</si>
  <si>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t xml:space="preserve">2026-08-25</t>
  </si>
  <si>
    <r>
      <rPr>
        <sz val="10"/>
        <rFont val="Noto Sans CJK SC"/>
        <family val="2"/>
      </rPr>
      <t xml:space="preserve">🤯ワイ、友達の家でヤバい物を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個見たんやが</t>
    </r>
    <r>
      <rPr>
        <sz val="10"/>
        <rFont val="Arial"/>
        <family val="0"/>
        <charset val="1"/>
      </rPr>
      <t xml:space="preserve">w🤯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</si>
  <si>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彼女の家で開けたらアカン引き出し開けたんやが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</si>
  <si>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2026-08-20</t>
  </si>
  <si>
    <r>
      <rPr>
        <sz val="10"/>
        <rFont val="Noto Sans CJK SC"/>
        <family val="2"/>
      </rPr>
      <t xml:space="preserve">ちいかわチョコサプ、なぜ中身が攻めすぎなのか？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秒予想してみたら草【ショート】</t>
    </r>
  </si>
  <si>
    <r>
      <rPr>
        <sz val="10"/>
        <rFont val="Noto Sans CJK SC"/>
        <family val="2"/>
      </rPr>
      <t xml:space="preserve">なんか靴下だけ消えるんやが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</si>
  <si>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ワイ、アジア大会珍プレー歴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</si>
  <si>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なぜケンタッキー月見は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秒で秋の給料日になるのか、食べた感想あげてけ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</si>
  <si>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💰アジア大会の裏方企業、年収</t>
    </r>
    <r>
      <rPr>
        <sz val="10"/>
        <rFont val="Arial"/>
        <family val="0"/>
        <charset val="1"/>
      </rPr>
      <t xml:space="preserve">932</t>
    </r>
    <r>
      <rPr>
        <sz val="10"/>
        <rFont val="Noto Sans CJK SC"/>
        <family val="2"/>
      </rPr>
      <t xml:space="preserve">万円の実態💰【ショート】</t>
    </r>
  </si>
  <si>
    <r>
      <rPr>
        <sz val="10"/>
        <rFont val="Noto Sans CJK SC"/>
        <family val="2"/>
      </rPr>
      <t xml:space="preserve">💸トヨタ自動車の年収</t>
    </r>
    <r>
      <rPr>
        <sz val="10"/>
        <rFont val="Arial"/>
        <family val="0"/>
        <charset val="1"/>
      </rPr>
      <t xml:space="preserve">982</t>
    </r>
    <r>
      <rPr>
        <sz val="10"/>
        <rFont val="Noto Sans CJK SC"/>
        <family val="2"/>
      </rPr>
      <t xml:space="preserve">万円、実は手当の中身が違う【ショート】</t>
    </r>
  </si>
  <si>
    <r>
      <rPr>
        <sz val="10"/>
        <rFont val="Noto Sans CJK SC"/>
        <family val="2"/>
      </rPr>
      <t xml:space="preserve">📉大谷翔平の年収が実は約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億円？スポンサー契約の裏側📉【ショート】</t>
    </r>
  </si>
  <si>
    <r>
      <rPr>
        <sz val="10"/>
        <rFont val="Noto Sans CJK SC"/>
        <family val="2"/>
      </rPr>
      <t xml:space="preserve">三菱商事の平均年収</t>
    </r>
    <r>
      <rPr>
        <sz val="10"/>
        <rFont val="Arial"/>
        <family val="0"/>
        <charset val="1"/>
      </rPr>
      <t xml:space="preserve">2033</t>
    </r>
    <r>
      <rPr>
        <sz val="10"/>
        <rFont val="Noto Sans CJK SC"/>
        <family val="2"/>
      </rPr>
      <t xml:space="preserve">万円、その中身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</si>
  <si>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万円差の実態【ショート】</t>
    </r>
  </si>
  <si>
    <r>
      <rPr>
        <sz val="10"/>
        <rFont val="Noto Sans CJK SC"/>
        <family val="2"/>
      </rPr>
      <t xml:space="preserve">💸不二家の半額ケーキ、実は年収</t>
    </r>
    <r>
      <rPr>
        <sz val="10"/>
        <rFont val="Arial"/>
        <family val="0"/>
        <charset val="1"/>
      </rPr>
      <t xml:space="preserve">549</t>
    </r>
    <r>
      <rPr>
        <sz val="10"/>
        <rFont val="Noto Sans CJK SC"/>
        <family val="2"/>
      </rPr>
      <t xml:space="preserve">万円とどう関係する？【ショート】</t>
    </r>
  </si>
  <si>
    <r>
      <rPr>
        <sz val="10"/>
        <rFont val="Noto Sans CJK SC"/>
        <family val="2"/>
      </rPr>
      <t xml:space="preserve">📉花王の男性育休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、年収はいくら？実は数字の裏も見る【ショート】</t>
    </r>
  </si>
  <si>
    <r>
      <rPr>
        <sz val="10"/>
        <rFont val="Arial"/>
        <family val="0"/>
        <charset val="1"/>
      </rPr>
      <t xml:space="preserve">💰Uber Eats</t>
    </r>
    <r>
      <rPr>
        <sz val="10"/>
        <rFont val="Noto Sans CJK SC"/>
        <family val="2"/>
      </rPr>
      <t xml:space="preserve">配達員、本当は時給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円超えもある収入の実態【ショート】</t>
    </r>
  </si>
  <si>
    <r>
      <rPr>
        <sz val="10"/>
        <rFont val="Noto Sans CJK SC"/>
        <family val="2"/>
      </rPr>
      <t xml:space="preserve">💸資生堂の年収</t>
    </r>
    <r>
      <rPr>
        <sz val="10"/>
        <rFont val="Arial"/>
        <family val="0"/>
        <charset val="1"/>
      </rPr>
      <t xml:space="preserve">729</t>
    </r>
    <r>
      <rPr>
        <sz val="10"/>
        <rFont val="Noto Sans CJK SC"/>
        <family val="2"/>
      </rPr>
      <t xml:space="preserve">万円、実はダイバーシティの裏で何がある？【ショート】</t>
    </r>
  </si>
  <si>
    <r>
      <rPr>
        <sz val="10"/>
        <rFont val="Arial"/>
        <family val="0"/>
        <charset val="1"/>
      </rPr>
      <t xml:space="preserve">📉JR</t>
    </r>
    <r>
      <rPr>
        <sz val="10"/>
        <rFont val="Noto Sans CJK SC"/>
        <family val="2"/>
      </rPr>
      <t xml:space="preserve">東日本の年収</t>
    </r>
    <r>
      <rPr>
        <sz val="10"/>
        <rFont val="Arial"/>
        <family val="0"/>
        <charset val="1"/>
      </rPr>
      <t xml:space="preserve">810</t>
    </r>
    <r>
      <rPr>
        <sz val="10"/>
        <rFont val="Noto Sans CJK SC"/>
        <family val="2"/>
      </rPr>
      <t xml:space="preserve">万円、本当は休日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日とのバランス💸【ショート】</t>
    </r>
  </si>
  <si>
    <r>
      <rPr>
        <sz val="10"/>
        <rFont val="Noto Sans CJK SC"/>
        <family val="2"/>
      </rPr>
      <t xml:space="preserve">😱ソニーグループの年収がヤバい </t>
    </r>
    <r>
      <rPr>
        <sz val="10"/>
        <rFont val="Arial"/>
        <family val="0"/>
        <charset val="1"/>
      </rPr>
      <t xml:space="preserve">1118</t>
    </r>
    <r>
      <rPr>
        <sz val="10"/>
        <rFont val="Noto Sans CJK SC"/>
        <family val="2"/>
      </rPr>
      <t xml:space="preserve">万円と</t>
    </r>
    <r>
      <rPr>
        <sz val="10"/>
        <rFont val="Arial"/>
        <family val="0"/>
        <charset val="1"/>
      </rPr>
      <t xml:space="preserve">DualSense</t>
    </r>
    <r>
      <rPr>
        <sz val="10"/>
        <rFont val="Noto Sans CJK SC"/>
        <family val="2"/>
      </rPr>
      <t xml:space="preserve">の仕事【ショート】</t>
    </r>
  </si>
  <si>
    <r>
      <rPr>
        <sz val="10"/>
        <rFont val="Noto Sans CJK SC"/>
        <family val="2"/>
      </rPr>
      <t xml:space="preserve">💰味の素の有給取得率、実は</t>
    </r>
    <r>
      <rPr>
        <sz val="10"/>
        <rFont val="Arial"/>
        <family val="0"/>
        <charset val="1"/>
      </rPr>
      <t xml:space="preserve">76.8% </t>
    </r>
    <r>
      <rPr>
        <sz val="10"/>
        <rFont val="Noto Sans CJK SC"/>
        <family val="2"/>
      </rPr>
      <t xml:space="preserve">年収と残業の本当は？💸【ショート】</t>
    </r>
  </si>
  <si>
    <r>
      <rPr>
        <sz val="10"/>
        <rFont val="Noto Sans CJK SC"/>
        <family val="2"/>
      </rPr>
      <t xml:space="preserve">リクルートの賞与は年間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万円超？平均年齢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歳の待遇を検証【ショート】</t>
    </r>
  </si>
  <si>
    <r>
      <rPr>
        <sz val="10"/>
        <rFont val="Noto Sans CJK SC"/>
        <family val="2"/>
      </rPr>
      <t xml:space="preserve">オリエンタルランドの年収</t>
    </r>
    <r>
      <rPr>
        <sz val="10"/>
        <rFont val="Arial"/>
        <family val="0"/>
        <charset val="1"/>
      </rPr>
      <t xml:space="preserve">536</t>
    </r>
    <r>
      <rPr>
        <sz val="10"/>
        <rFont val="Noto Sans CJK SC"/>
        <family val="2"/>
      </rPr>
      <t xml:space="preserve">万円、離職率</t>
    </r>
    <r>
      <rPr>
        <sz val="10"/>
        <rFont val="Arial"/>
        <family val="0"/>
        <charset val="1"/>
      </rPr>
      <t xml:space="preserve">2.1%</t>
    </r>
    <r>
      <rPr>
        <sz val="10"/>
        <rFont val="Noto Sans CJK SC"/>
        <family val="2"/>
      </rPr>
      <t xml:space="preserve">の実態【ショート】</t>
    </r>
  </si>
  <si>
    <r>
      <rPr>
        <sz val="10"/>
        <rFont val="Arial"/>
        <family val="0"/>
        <charset val="1"/>
      </rPr>
      <t xml:space="preserve">💸GU</t>
    </r>
    <r>
      <rPr>
        <sz val="10"/>
        <rFont val="Noto Sans CJK SC"/>
        <family val="2"/>
      </rPr>
      <t xml:space="preserve">の年収、実はポケモンコラボで上がるのか？平均</t>
    </r>
    <r>
      <rPr>
        <sz val="10"/>
        <rFont val="Arial"/>
        <family val="0"/>
        <charset val="1"/>
      </rPr>
      <t xml:space="preserve">959</t>
    </r>
    <r>
      <rPr>
        <sz val="10"/>
        <rFont val="Noto Sans CJK SC"/>
        <family val="2"/>
      </rPr>
      <t xml:space="preserve">万円の裏側💸【ショート】</t>
    </r>
  </si>
  <si>
    <t xml:space="preserve">2026-08-12</t>
  </si>
  <si>
    <r>
      <rPr>
        <sz val="10"/>
        <rFont val="Noto Sans CJK SC"/>
        <family val="2"/>
      </rPr>
      <t xml:space="preserve">サントリーの平均年収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万円超？残業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時間の実態【ショート】</t>
    </r>
  </si>
  <si>
    <r>
      <rPr>
        <sz val="10"/>
        <rFont val="Noto Sans CJK SC"/>
        <family val="2"/>
      </rPr>
      <t xml:space="preserve">セブン銀行の年間休日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日、平均年収も数字で解説【ショート】</t>
    </r>
  </si>
  <si>
    <r>
      <rPr>
        <sz val="10"/>
        <rFont val="Noto Sans CJK SC"/>
        <family val="2"/>
      </rPr>
      <t xml:space="preserve">無印良品の正社員待遇、年間休日</t>
    </r>
    <r>
      <rPr>
        <sz val="10"/>
        <rFont val="Arial"/>
        <family val="0"/>
        <charset val="1"/>
      </rPr>
      <t xml:space="preserve">123</t>
    </r>
    <r>
      <rPr>
        <sz val="10"/>
        <rFont val="Noto Sans CJK SC"/>
        <family val="2"/>
      </rPr>
      <t xml:space="preserve">日の実態【ショート】</t>
    </r>
  </si>
  <si>
    <r>
      <rPr>
        <sz val="10"/>
        <rFont val="Noto Sans CJK SC"/>
        <family val="2"/>
      </rPr>
      <t xml:space="preserve">ソニーの平均年収</t>
    </r>
    <r>
      <rPr>
        <sz val="10"/>
        <rFont val="Arial"/>
        <family val="0"/>
        <charset val="1"/>
      </rPr>
      <t xml:space="preserve">1118</t>
    </r>
    <r>
      <rPr>
        <sz val="10"/>
        <rFont val="Noto Sans CJK SC"/>
        <family val="2"/>
      </rPr>
      <t xml:space="preserve">万円、年間休日</t>
    </r>
    <r>
      <rPr>
        <sz val="10"/>
        <rFont val="Arial"/>
        <family val="0"/>
        <charset val="1"/>
      </rPr>
      <t xml:space="preserve">125</t>
    </r>
    <r>
      <rPr>
        <sz val="10"/>
        <rFont val="Noto Sans CJK SC"/>
        <family val="2"/>
      </rPr>
      <t xml:space="preserve">日の実態【ショート】</t>
    </r>
  </si>
  <si>
    <t xml:space="preserve">2026-08-30</t>
  </si>
  <si>
    <r>
      <rPr>
        <sz val="10"/>
        <rFont val="Noto Sans CJK SC"/>
        <family val="2"/>
      </rPr>
      <t xml:space="preserve">📈動画作りに課金しすぎた男、年収</t>
    </r>
    <r>
      <rPr>
        <sz val="10"/>
        <rFont val="Arial"/>
        <family val="0"/>
        <charset val="1"/>
      </rPr>
      <t xml:space="preserve">480</t>
    </r>
    <r>
      <rPr>
        <sz val="10"/>
        <rFont val="Noto Sans CJK SC"/>
        <family val="2"/>
      </rPr>
      <t xml:space="preserve">万円で転職できる？【ショート】</t>
    </r>
  </si>
  <si>
    <r>
      <rPr>
        <sz val="10"/>
        <rFont val="Noto Sans CJK SC"/>
        <family val="2"/>
      </rPr>
      <t xml:space="preserve">なぜ今飲んだ炭酸は鼻までツーンとするのか？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秒の刺激ルート【ショート】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</si>
  <si>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#92</t>
    </r>
    <r>
      <rPr>
        <sz val="10"/>
        <rFont val="Noto Sans CJK SC"/>
        <family val="2"/>
      </rPr>
      <t xml:space="preserve">：🌍なぜ目をこすると光が見える？あなたの網膜で起きる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秒の勘違い💡【ショート】</t>
    </r>
  </si>
  <si>
    <t xml:space="preserve">あり</t>
  </si>
  <si>
    <r>
      <rPr>
        <sz val="10"/>
        <rFont val="Noto Sans CJK SC"/>
        <family val="2"/>
      </rPr>
      <t xml:space="preserve">なぜ夢の続きを見た気がするのか？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が知らない目覚め後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分の記憶再構成【ショート】</t>
    </r>
  </si>
  <si>
    <r>
      <rPr>
        <sz val="10"/>
        <rFont val="Noto Sans CJK SC"/>
        <family val="2"/>
      </rPr>
      <t xml:space="preserve">昨夜の夢、なぜ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分なのに何時間もいた気がする？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割が勘違いする時間感覚【ショート】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</si>
  <si>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#91</t>
    </r>
    <r>
      <rPr>
        <sz val="10"/>
        <rFont val="Noto Sans CJK SC"/>
        <family val="2"/>
      </rPr>
      <t xml:space="preserve">：💯なぜ人混みであなたの名前だけ聞こえるのか？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秒の選別💯【ショート】</t>
    </r>
  </si>
  <si>
    <r>
      <rPr>
        <sz val="10"/>
        <rFont val="Noto Sans CJK SC"/>
        <family val="2"/>
      </rPr>
      <t xml:space="preserve">なぜ正座を崩した瞬間だけビリビリするのか？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秒の正体【ショート】</t>
    </r>
  </si>
  <si>
    <t xml:space="preserve">2026-08-10</t>
  </si>
  <si>
    <r>
      <rPr>
        <sz val="10"/>
        <rFont val="Noto Sans CJK SC"/>
        <family val="2"/>
      </rPr>
      <t xml:space="preserve">本を開いた瞬間に眠くなる理由集中しているのに眠い『逆説』の正体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本を読むと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の人が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分以内に眠くなる——その『睡魔の罠』の正体、知ってる？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</si>
  <si>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#88</t>
    </r>
    <r>
      <rPr>
        <sz val="10"/>
        <rFont val="Noto Sans CJK SC"/>
        <family val="2"/>
      </rPr>
      <t xml:space="preserve">：📈なぜあなたは最後の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段だけ踏み外す？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秒のズレ📊【ショート】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</si>
  <si>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#89</t>
    </r>
    <r>
      <rPr>
        <sz val="10"/>
        <rFont val="Noto Sans CJK SC"/>
        <family val="2"/>
      </rPr>
      <t xml:space="preserve">：💯なぜあなたは寝る直前だけ昔の失敗を思い出すのか？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秒の脳内変化【ショート】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</si>
  <si>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#95</t>
    </r>
    <r>
      <rPr>
        <sz val="10"/>
        <rFont val="Noto Sans CJK SC"/>
        <family val="2"/>
      </rPr>
      <t xml:space="preserve">：🧪なぜ雷鳴の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秒前から体が固まるのか？あなたの脳に起きる反応の正体🧬【ショート】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</si>
  <si>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#98</t>
    </r>
    <r>
      <rPr>
        <sz val="10"/>
        <rFont val="Noto Sans CJK SC"/>
        <family val="2"/>
      </rPr>
      <t xml:space="preserve">：🌍なぜ歩くと腕と足は逆に動くのか？あなたの体が毎秒行う回転制御の正体【ショート】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</si>
  <si>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分科学：なぜ蚊に刺された場所は数分後から痒くなるのか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</si>
  <si>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#100</t>
    </r>
    <r>
      <rPr>
        <sz val="10"/>
        <rFont val="Noto Sans CJK SC"/>
        <family val="2"/>
      </rPr>
      <t xml:space="preserve">：🧬なぜあなたはポケモンの夢で技まで使える？</t>
    </r>
    <r>
      <rPr>
        <sz val="10"/>
        <rFont val="Arial"/>
        <family val="0"/>
        <charset val="1"/>
      </rPr>
      <t xml:space="preserve">REM</t>
    </r>
    <r>
      <rPr>
        <sz val="10"/>
        <rFont val="Noto Sans CJK SC"/>
        <family val="2"/>
      </rPr>
      <t xml:space="preserve">睡眠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分にある記憶の正体【ショート】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</si>
  <si>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#94</t>
    </r>
    <r>
      <rPr>
        <sz val="10"/>
        <rFont val="Noto Sans CJK SC"/>
        <family val="2"/>
      </rPr>
      <t xml:space="preserve">：🧬なぜ甘い物のあと塩気が欲しい？あなたの舌で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分起きる感度の正体【ショート】</t>
    </r>
  </si>
  <si>
    <t xml:space="preserve">2026-08-11</t>
  </si>
  <si>
    <r>
      <rPr>
        <sz val="10"/>
        <rFont val="Noto Sans CJK SC"/>
        <family val="2"/>
      </rPr>
      <t xml:space="preserve">今夜あなたが寝返りした瞬間、なぜ</t>
    </r>
    <r>
      <rPr>
        <sz val="10"/>
        <rFont val="Arial"/>
        <family val="0"/>
        <charset val="1"/>
      </rPr>
      <t xml:space="preserve">0.8</t>
    </r>
    <r>
      <rPr>
        <sz val="10"/>
        <rFont val="Noto Sans CJK SC"/>
        <family val="2"/>
      </rPr>
      <t xml:space="preserve">秒だけ目が覚める？実は眠りが消える前の脳内チェック【ショート】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</si>
  <si>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#97</t>
    </r>
    <r>
      <rPr>
        <sz val="10"/>
        <rFont val="Noto Sans CJK SC"/>
        <family val="2"/>
      </rPr>
      <t xml:space="preserve">：🧬なぜ大谷翔平は睡眠を最優先するのか？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</si>
  <si>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#99</t>
    </r>
    <r>
      <rPr>
        <sz val="10"/>
        <rFont val="Noto Sans CJK SC"/>
        <family val="2"/>
      </rPr>
      <t xml:space="preserve">：🧪なぜ濡れた紙は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倍も破れやすい？あなたが毎日触る繊維の正体【ショート】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</si>
  <si>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#93</t>
    </r>
    <r>
      <rPr>
        <sz val="10"/>
        <rFont val="Noto Sans CJK SC"/>
        <family val="2"/>
      </rPr>
      <t xml:space="preserve">：🔍なぜ満月の夜だけ夢を覚えている？月齢</t>
    </r>
    <r>
      <rPr>
        <sz val="10"/>
        <rFont val="Arial"/>
        <family val="0"/>
        <charset val="1"/>
      </rPr>
      <t xml:space="preserve">29.5</t>
    </r>
    <r>
      <rPr>
        <sz val="10"/>
        <rFont val="Noto Sans CJK SC"/>
        <family val="2"/>
      </rPr>
      <t xml:space="preserve">日に隠れた睡眠の正体【ショート】</t>
    </r>
  </si>
  <si>
    <r>
      <rPr>
        <sz val="10"/>
        <rFont val="Noto Sans CJK SC"/>
        <family val="2"/>
      </rPr>
      <t xml:space="preserve">寝てる間だけ成長する？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が知らない夜の体の秘密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寝ている間だけ分泌される『あのホルモン』——なぜ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の人が睡眠中にしか成長できないのか？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</si>
  <si>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なぜ今夜、布団で足だけ熱い？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が勘違いする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分の放熱の正体【ショート】</t>
    </r>
  </si>
  <si>
    <r>
      <rPr>
        <sz val="10"/>
        <rFont val="Noto Sans CJK SC"/>
        <family val="2"/>
      </rPr>
      <t xml:space="preserve">なぜ今目を閉じるとふらつくのか？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が知らない最初の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秒の平衡感覚【ショート】</t>
    </r>
  </si>
  <si>
    <r>
      <rPr>
        <sz val="10"/>
        <rFont val="Noto Sans CJK SC"/>
        <family val="2"/>
      </rPr>
      <t xml:space="preserve">なぜ辛い物で汗が出るのか？実は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秒の温度反応【ショート】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</si>
  <si>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#90</t>
    </r>
    <r>
      <rPr>
        <sz val="10"/>
        <rFont val="Noto Sans CJK SC"/>
        <family val="2"/>
      </rPr>
      <t xml:space="preserve">：💯なぜあなたの舌はやけど後だけ味が消える？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日の入れ替わり【ショート】</t>
    </r>
  </si>
  <si>
    <r>
      <rPr>
        <sz val="10"/>
        <rFont val="Noto Sans CJK SC"/>
        <family val="2"/>
      </rPr>
      <t xml:space="preserve">なぜくしゃみの後だけ体が軽いのか？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秒間の神経反応【ショート】</t>
    </r>
  </si>
  <si>
    <r>
      <rPr>
        <sz val="10"/>
        <rFont val="Noto Sans CJK SC"/>
        <family val="2"/>
      </rPr>
      <t xml:space="preserve">なぜ今、片方の手だけ冷たいのか？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割が見落とす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倍の血流差【ショート】</t>
    </r>
  </si>
  <si>
    <r>
      <rPr>
        <sz val="10"/>
        <rFont val="Noto Sans CJK SC"/>
        <family val="2"/>
      </rPr>
      <t xml:space="preserve">バンギラスとメタグロス、どっちが勝つ？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族対決は持ち物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つで逆転する【ショート】</t>
    </r>
  </si>
  <si>
    <t xml:space="preserve">なぜパルキアは勝てないと言われる？ウルトラネクロズマとの数字差が意外すぎる【ショート】</t>
  </si>
  <si>
    <r>
      <rPr>
        <sz val="10"/>
        <rFont val="Noto Sans CJK SC"/>
        <family val="2"/>
      </rPr>
      <t xml:space="preserve">なぜメタグロスはサーフゴーに勝てない？持ち物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つで逆転する本当の理由【ショート】</t>
    </r>
  </si>
  <si>
    <r>
      <rPr>
        <sz val="10"/>
        <rFont val="Noto Sans CJK SC"/>
        <family val="2"/>
      </rPr>
      <t xml:space="preserve">リザードンとカイリュー、どっちが勝つ？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倍弱点で勝敗がひっくり返る【ショート】</t>
    </r>
  </si>
  <si>
    <t xml:space="preserve">ミミッキュとロトム、どっちが勝つ？姿変化を実戦で比べた結果【ショート】</t>
  </si>
  <si>
    <t xml:space="preserve">ホウオウとルギア、まともに戦わせたらどっちが勝つのか【ショート】</t>
  </si>
  <si>
    <t xml:space="preserve">ルカリオとウルガモス、どっちが勝つ？相性有利がひっくり返る実戦条件【ショート】</t>
  </si>
  <si>
    <r>
      <rPr>
        <sz val="10"/>
        <rFont val="Noto Sans CJK SC"/>
        <family val="2"/>
      </rPr>
      <t xml:space="preserve">ガブリアスとボーマンダ、素早さ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でどっちが勝つ？君は気づけるか【ショート】</t>
    </r>
  </si>
  <si>
    <t xml:space="preserve">なぜ同じドラゴンなのに勝敗が割れるのか？カイリューとボーマンダの隠された実戦性能の秘密【ショート】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</si>
  <si>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#9</t>
    </r>
    <r>
      <rPr>
        <sz val="10"/>
        <rFont val="Noto Sans CJK SC"/>
        <family val="2"/>
      </rPr>
      <t xml:space="preserve">：🎮カイオーガとグラードン、天候を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回張ったらどっちが勝つ？【ショート】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</si>
  <si>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：🔥ドラパルトとガブリアス、君は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秒で速さの壁を越えられる？【ショート】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</si>
  <si>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#10</t>
    </r>
    <r>
      <rPr>
        <sz val="10"/>
        <rFont val="Noto Sans CJK SC"/>
        <family val="2"/>
      </rPr>
      <t xml:space="preserve">：🔥あなたの飲み物を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時間守るポケモン、なぜ存在する？【ショート】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</si>
  <si>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：👀グリーンに隠された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つの秘密、あなたは本当の役割に気づいた？【ショート】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</si>
  <si>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：👀</t>
    </r>
    <r>
      <rPr>
        <sz val="10"/>
        <rFont val="Arial"/>
        <family val="0"/>
        <charset val="1"/>
      </rPr>
      <t xml:space="preserve">GU</t>
    </r>
    <r>
      <rPr>
        <sz val="10"/>
        <rFont val="Noto Sans CJK SC"/>
        <family val="2"/>
      </rPr>
      <t xml:space="preserve">ポケモンコラボに隠された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つの秘密、ピカチュウだけじゃない理由は？❓【ショート】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</si>
  <si>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分ポケモン研究：ヌメルゴンとバンギラス、特防が高いのはどっち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</si>
  <si>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：🕵️ケッキングに隠された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ターンの秘密、種族値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なのになぜ使えない？【ショート】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</si>
  <si>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#15</t>
    </r>
    <r>
      <rPr>
        <sz val="10"/>
        <rFont val="Noto Sans CJK SC"/>
        <family val="2"/>
      </rPr>
      <t xml:space="preserve">：👀シャンデラに隠された秘密、なぜ霊タイプ？君が知らない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つの由来【ショート】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</si>
  <si>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：👀ミュウツーに隠された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手先の秘密、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はなぜ交代を読める？【ショート】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</si>
  <si>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#14</t>
    </r>
    <r>
      <rPr>
        <sz val="10"/>
        <rFont val="Noto Sans CJK SC"/>
        <family val="2"/>
      </rPr>
      <t xml:space="preserve">：👀ロケット団に隠された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つの秘密、あなたは本当の目的を知ってる？【ショート】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</si>
  <si>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#12</t>
    </r>
    <r>
      <rPr>
        <sz val="10"/>
        <rFont val="Noto Sans CJK SC"/>
        <family val="2"/>
      </rPr>
      <t xml:space="preserve">：💧サーナイトとエルレイド、君はなぜ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つの攻撃で迷う？【ショート】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</si>
  <si>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：👀ポケモンタワーに隠された秘密、あなたが見落とす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つの違和感は？👀【ショート】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</si>
  <si>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研究所</t>
    </r>
  </si>
  <si>
    <r>
      <rPr>
        <sz val="10"/>
        <rFont val="Arial"/>
        <family val="0"/>
        <charset val="1"/>
      </rPr>
      <t xml:space="preserve">SCP-7004</t>
    </r>
    <r>
      <rPr>
        <sz val="10"/>
        <rFont val="Noto Sans CJK SC"/>
        <family val="2"/>
      </rPr>
      <t xml:space="preserve">「終末の観測者」— 収容都市は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日で住民全員を失った【最後の記録】【ショート】</t>
    </r>
  </si>
  <si>
    <r>
      <rPr>
        <sz val="10"/>
        <rFont val="Arial"/>
        <family val="0"/>
        <charset val="1"/>
      </rPr>
      <t xml:space="preserve">SCP-1690</t>
    </r>
    <r>
      <rPr>
        <sz val="10"/>
        <rFont val="Noto Sans CJK SC"/>
        <family val="2"/>
      </rPr>
      <t xml:space="preserve">「廃棄された文明の記録」— 発掘地点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か所、通信断絶から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年後に収容【ショート】</t>
    </r>
  </si>
  <si>
    <r>
      <rPr>
        <sz val="10"/>
        <rFont val="Arial"/>
        <family val="0"/>
        <charset val="1"/>
      </rPr>
      <t xml:space="preserve">SCP-2399</t>
    </r>
    <r>
      <rPr>
        <sz val="10"/>
        <rFont val="Noto Sans CJK SC"/>
        <family val="2"/>
      </rPr>
      <t xml:space="preserve">収容記録：地球まで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時間、なぜ迎撃隊だけ全滅したのか【最後の軌道通信】【ショート】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</si>
  <si>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SCP-507</t>
    </r>
    <r>
      <rPr>
        <sz val="10"/>
        <rFont val="Noto Sans CJK SC"/>
        <family val="2"/>
      </rPr>
      <t xml:space="preserve">「不本意な次元旅行者」あなたの部屋にも戻るかもしれない恐怖【ショート】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</si>
  <si>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SCP-1048</t>
    </r>
    <r>
      <rPr>
        <sz val="10"/>
        <rFont val="Noto Sans CJK SC"/>
        <family val="2"/>
      </rPr>
      <t xml:space="preserve">「ビルダーベア」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判定が招いた収容違反の恐怖😱【ショート】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</si>
  <si>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#101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</t>
    </r>
    <r>
      <rPr>
        <sz val="10"/>
        <rFont val="Noto Sans CJK SC"/>
        <family val="2"/>
      </rPr>
      <t xml:space="preserve">雷撃記録、あなたの部屋まで届く落雷恐怖【ショート】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</si>
  <si>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SCP-006-JP</t>
    </r>
    <r>
      <rPr>
        <sz val="10"/>
        <rFont val="Noto Sans CJK SC"/>
        <family val="2"/>
      </rPr>
      <t xml:space="preserve">「あけろ」ドアの向こうの記録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</si>
  <si>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なぜ調査員は</t>
    </r>
    <r>
      <rPr>
        <sz val="10"/>
        <rFont val="Arial"/>
        <family val="0"/>
        <charset val="1"/>
      </rPr>
      <t xml:space="preserve">SCP-1283-JP</t>
    </r>
    <r>
      <rPr>
        <sz val="10"/>
        <rFont val="Noto Sans CJK SC"/>
        <family val="2"/>
      </rPr>
      <t xml:space="preserve">の踏切のむこうで消えたのか？【ショート】</t>
    </r>
  </si>
  <si>
    <r>
      <rPr>
        <sz val="10"/>
        <rFont val="Arial"/>
        <family val="0"/>
        <charset val="1"/>
      </rPr>
      <t xml:space="preserve">SCP-701</t>
    </r>
    <r>
      <rPr>
        <sz val="10"/>
        <rFont val="Noto Sans CJK SC"/>
        <family val="2"/>
      </rPr>
      <t xml:space="preserve">「吊られた王の悲劇」— 上演記録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件、観客の生存率は</t>
    </r>
    <r>
      <rPr>
        <sz val="10"/>
        <rFont val="Arial"/>
        <family val="0"/>
        <charset val="1"/>
      </rPr>
      <t xml:space="preserve">21%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</si>
  <si>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#92</t>
    </r>
    <r>
      <rPr>
        <sz val="10"/>
        <rFont val="Noto Sans CJK SC"/>
        <family val="2"/>
      </rPr>
      <t xml:space="preserve">：👁️</t>
    </r>
    <r>
      <rPr>
        <sz val="10"/>
        <rFont val="Arial"/>
        <family val="0"/>
        <charset val="1"/>
      </rPr>
      <t xml:space="preserve">SCP-3120</t>
    </r>
    <r>
      <rPr>
        <sz val="10"/>
        <rFont val="Noto Sans CJK SC"/>
        <family val="2"/>
      </rPr>
      <t xml:space="preserve">「異常な戦闘機」— 試験飛行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回、操縦席から帰還した隊員は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名だった【ショート】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</si>
  <si>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MTF</t>
    </r>
    <r>
      <rPr>
        <sz val="10"/>
        <rFont val="Noto Sans CJK SC"/>
        <family val="2"/>
      </rPr>
      <t xml:space="preserve">アルファからオメガ、あなたの部屋にも来る財団極秘作戦の恐怖💀【ショート】</t>
    </r>
  </si>
  <si>
    <r>
      <rPr>
        <sz val="10"/>
        <rFont val="Noto Sans CJK SC"/>
        <family val="2"/>
      </rPr>
      <t xml:space="preserve">なぜ航路の先で記録が消えるのか？</t>
    </r>
    <r>
      <rPr>
        <sz val="10"/>
        <rFont val="Arial"/>
        <family val="0"/>
        <charset val="1"/>
      </rPr>
      <t xml:space="preserve">SCP-1783-JP</t>
    </r>
    <r>
      <rPr>
        <sz val="10"/>
        <rFont val="Noto Sans CJK SC"/>
        <family val="2"/>
      </rPr>
      <t xml:space="preserve">の本当の恐怖【ショート】</t>
    </r>
  </si>
  <si>
    <r>
      <rPr>
        <sz val="10"/>
        <rFont val="Noto Sans CJK SC"/>
        <family val="2"/>
      </rPr>
      <t xml:space="preserve">なぜ「死亡者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人」の日々で人々が消えたのか【</t>
    </r>
    <r>
      <rPr>
        <sz val="10"/>
        <rFont val="Arial"/>
        <family val="0"/>
        <charset val="1"/>
      </rPr>
      <t xml:space="preserve">SCP-3519</t>
    </r>
    <r>
      <rPr>
        <sz val="10"/>
        <rFont val="Noto Sans CJK SC"/>
        <family val="2"/>
      </rPr>
      <t xml:space="preserve">】【ショート】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</si>
  <si>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#105</t>
    </r>
    <r>
      <rPr>
        <sz val="10"/>
        <rFont val="Noto Sans CJK SC"/>
        <family val="2"/>
      </rPr>
      <t xml:space="preserve">：💀</t>
    </r>
    <r>
      <rPr>
        <sz val="10"/>
        <rFont val="Arial"/>
        <family val="0"/>
        <charset val="1"/>
      </rPr>
      <t xml:space="preserve">SCP-239</t>
    </r>
    <r>
      <rPr>
        <sz val="10"/>
        <rFont val="Noto Sans CJK SC"/>
        <family val="2"/>
      </rPr>
      <t xml:space="preserve">「魔女の子供」眠る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歳を財団が恐れた収容記録😱【ショート】</t>
    </r>
  </si>
  <si>
    <r>
      <rPr>
        <sz val="10"/>
        <rFont val="Arial"/>
        <family val="0"/>
        <charset val="1"/>
      </rPr>
      <t xml:space="preserve">SCP-682</t>
    </r>
    <r>
      <rPr>
        <sz val="10"/>
        <rFont val="Noto Sans CJK SC"/>
        <family val="2"/>
      </rPr>
      <t xml:space="preserve">の酸槽、記録に残らない変化が起きた【ショート】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</si>
  <si>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SCP-6670</t>
    </r>
    <r>
      <rPr>
        <sz val="10"/>
        <rFont val="Noto Sans CJK SC"/>
        <family val="2"/>
      </rPr>
      <t xml:space="preserve">「完全な破滅」人類全員を消す報告書の恐怖【ショート】</t>
    </r>
  </si>
  <si>
    <r>
      <rPr>
        <sz val="10"/>
        <rFont val="Arial"/>
        <family val="0"/>
        <charset val="1"/>
      </rPr>
      <t xml:space="preserve">SCP-2525</t>
    </r>
    <r>
      <rPr>
        <sz val="10"/>
        <rFont val="Noto Sans CJK SC"/>
        <family val="2"/>
      </rPr>
      <t xml:space="preserve">「異常なゲーム」— 死亡記録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件、勝利条件は未達成【ショート】</t>
    </r>
  </si>
  <si>
    <r>
      <rPr>
        <sz val="10"/>
        <rFont val="Noto Sans CJK SC"/>
        <family val="2"/>
      </rPr>
      <t xml:space="preserve">財団が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年間隠し続けた接近者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名・生存率</t>
    </r>
    <r>
      <rPr>
        <sz val="10"/>
        <rFont val="Arial"/>
        <family val="0"/>
        <charset val="1"/>
      </rPr>
      <t xml:space="preserve">0%——</t>
    </r>
    <r>
      <rPr>
        <sz val="10"/>
        <rFont val="Noto Sans CJK SC"/>
        <family val="2"/>
      </rPr>
      <t xml:space="preserve">湖で名前を失った本当の理由【ショート】</t>
    </r>
  </si>
  <si>
    <r>
      <rPr>
        <sz val="10"/>
        <rFont val="Arial"/>
        <family val="0"/>
        <charset val="1"/>
      </rPr>
      <t xml:space="preserve">SCP-2845</t>
    </r>
    <r>
      <rPr>
        <sz val="10"/>
        <rFont val="Noto Sans CJK SC"/>
        <family val="2"/>
      </rPr>
      <t xml:space="preserve">収容記録：儀式が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分遅れた夜、</t>
    </r>
    <r>
      <rPr>
        <sz val="10"/>
        <rFont val="Arial"/>
        <family val="0"/>
        <charset val="1"/>
      </rPr>
      <t xml:space="preserve">173</t>
    </r>
    <r>
      <rPr>
        <sz val="10"/>
        <rFont val="Noto Sans CJK SC"/>
        <family val="2"/>
      </rPr>
      <t xml:space="preserve">名はなぜか全員消えた【これが最後の名簿】【ショート】</t>
    </r>
  </si>
  <si>
    <r>
      <rPr>
        <sz val="10"/>
        <rFont val="Noto Sans CJK SC"/>
        <family val="2"/>
      </rPr>
      <t xml:space="preserve">触れた全員が笑う粘体、なぜ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なのか？【ショート】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</si>
  <si>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#94</t>
    </r>
    <r>
      <rPr>
        <sz val="10"/>
        <rFont val="Noto Sans CJK SC"/>
        <family val="2"/>
      </rPr>
      <t xml:space="preserve">：🔒</t>
    </r>
    <r>
      <rPr>
        <sz val="10"/>
        <rFont val="Arial"/>
        <family val="0"/>
        <charset val="1"/>
      </rPr>
      <t xml:space="preserve">SCP-2306</t>
    </r>
    <r>
      <rPr>
        <sz val="10"/>
        <rFont val="Noto Sans CJK SC"/>
        <family val="2"/>
      </rPr>
      <t xml:space="preserve">「実在しない部屋」— 図面に無い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室、調査員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名の記録だけが残った⚠️【ショート】</t>
    </r>
  </si>
  <si>
    <r>
      <rPr>
        <sz val="10"/>
        <rFont val="Noto Sans CJK SC"/>
        <family val="2"/>
      </rPr>
      <t xml:space="preserve">太陽系の番人</t>
    </r>
    <r>
      <rPr>
        <sz val="10"/>
        <rFont val="Arial"/>
        <family val="0"/>
        <charset val="1"/>
      </rPr>
      <t xml:space="preserve">SCP-179</t>
    </r>
    <r>
      <rPr>
        <sz val="10"/>
        <rFont val="Noto Sans CJK SC"/>
        <family val="2"/>
      </rPr>
      <t xml:space="preserve">が沈黙を恐れる理由【ショート】</t>
    </r>
  </si>
  <si>
    <r>
      <rPr>
        <sz val="10"/>
        <rFont val="Noto Sans CJK SC"/>
        <family val="2"/>
      </rPr>
      <t xml:space="preserve">実は完治後に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人が戻れなかった本当の理由とは？【ショート】</t>
    </r>
  </si>
  <si>
    <t xml:space="preserve">鬼の元ネタが怖すぎる — 鬼門から来る者を家に入れてはいけない理由【ショート】</t>
  </si>
  <si>
    <t xml:space="preserve">のっぺらぼうの正体が怖すぎる — 顔を奪う怪談はなぜ生まれたのか【ショート】</t>
  </si>
  <si>
    <t xml:space="preserve">ふじのやまの元ネタが怖すぎる — 山に入った人が戻れなくなる禁忌【ショート】</t>
  </si>
  <si>
    <t xml:space="preserve">なぜツチノコは家に入る？隠された秘密【ショート】</t>
  </si>
  <si>
    <t xml:space="preserve">海坊主の正体が怖すぎる — 船を沈める巨大な影は何だったのか【ショート】</t>
  </si>
  <si>
    <t xml:space="preserve">ねちがえる、なぜか夜だけ首を狙う？金縛りの奥にある古い怪異【ショート】</t>
  </si>
  <si>
    <t xml:space="preserve">河童はなぜか子どもだけを呼ぶ？水辺に残された「声」の本当の理由【ショート】</t>
  </si>
  <si>
    <t xml:space="preserve">花子さんの正体 — なぜ学校のトイレで「三番目」なのか【ショート】</t>
  </si>
  <si>
    <t xml:space="preserve">ぬらりひょんの正体が怖すぎる — なぜあなたの家に勝手に上がるのか【ショート】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</si>
  <si>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#12</t>
    </r>
    <r>
      <rPr>
        <sz val="10"/>
        <rFont val="Noto Sans CJK SC"/>
        <family val="2"/>
      </rPr>
      <t xml:space="preserve">：👁️両面宿儺に隠された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つの秘密、君は古文書の正体を知ってる？【ショート】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</si>
  <si>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：👁️エンマ大王に隠された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つの条件、あなたは本当に仲間にできる？【ショート】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</si>
  <si>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：👁️フユニャンに隠された秘密、あなたが知らない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つの元ネタとは？【ショート】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</si>
  <si>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分妖怪ファイル：キュウビの元ネタ玉藻前、殺生石になった結末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</si>
  <si>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：👁️妖怪ウォッチ元祖に隠された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つの秘密、あなたは名前の意味に気づいた？【ショート】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</si>
  <si>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秒で消える？天狗と山伏、神隠しの本当の理由【ショート】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</si>
  <si>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#16</t>
    </r>
    <r>
      <rPr>
        <sz val="10"/>
        <rFont val="Noto Sans CJK SC"/>
        <family val="2"/>
      </rPr>
      <t xml:space="preserve">：👁️妖怪ウォッチに隠された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つの秘密、大谷翔平と妖怪伝説の関係は？【ショート】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</si>
  <si>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#7</t>
    </r>
    <r>
      <rPr>
        <sz val="10"/>
        <rFont val="Noto Sans CJK SC"/>
        <family val="2"/>
      </rPr>
      <t xml:space="preserve">：😰かまいたちの元ネタが怖すぎる — あなたが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秒で傷つく理由は？【ショート】</t>
    </r>
  </si>
  <si>
    <r>
      <rPr>
        <sz val="10"/>
        <rFont val="Noto Sans CJK SC"/>
        <family val="2"/>
      </rPr>
      <t xml:space="preserve">なぜ猫又の尻尾は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つ？実は老猫を恐れた江戸の記録が怖い【ショート】</t>
    </r>
  </si>
  <si>
    <r>
      <rPr>
        <sz val="10"/>
        <rFont val="Noto Sans CJK SC"/>
        <family val="2"/>
      </rPr>
      <t xml:space="preserve">雪女が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日黙れと言う…実は誰にも言えない恐怖があった【ショート】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</si>
  <si>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：❓妖怪ウォッチの将門伝説に隠された秘密、あなたが知らない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つの異変？🔍【ショート】</t>
    </r>
  </si>
  <si>
    <r>
      <rPr>
        <b val="true"/>
        <sz val="14"/>
        <color rgb="FF1F3864"/>
        <rFont val="Noto Sans CJK SC"/>
        <family val="2"/>
      </rPr>
      <t xml:space="preserve">改善アクション（</t>
    </r>
    <r>
      <rPr>
        <b val="true"/>
        <sz val="14"/>
        <color rgb="FF1F3864"/>
        <rFont val="Arial"/>
        <family val="0"/>
        <charset val="1"/>
      </rPr>
      <t xml:space="preserve">2026-09-02 </t>
    </r>
    <r>
      <rPr>
        <b val="true"/>
        <sz val="14"/>
        <color rgb="FF1F3864"/>
        <rFont val="Noto Sans CJK SC"/>
        <family val="2"/>
      </rPr>
      <t xml:space="preserve">実施済み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保留）</t>
    </r>
  </si>
  <si>
    <t xml:space="preserve">#</t>
  </si>
  <si>
    <t xml:space="preserve">対象</t>
  </si>
  <si>
    <t xml:space="preserve">アクション</t>
  </si>
  <si>
    <t xml:space="preserve">根拠（実測）</t>
  </si>
  <si>
    <t xml:space="preserve">期待効果</t>
  </si>
  <si>
    <t xml:space="preserve">状態</t>
  </si>
  <si>
    <t xml:space="preserve">検証方法</t>
  </si>
  <si>
    <t xml:space="preserve">scp-lab</t>
  </si>
  <si>
    <r>
      <rPr>
        <sz val="10"/>
        <rFont val="Noto Sans CJK SC"/>
        <family val="2"/>
      </rPr>
      <t xml:space="preserve">テーマキューを</t>
    </r>
    <r>
      <rPr>
        <sz val="10"/>
        <rFont val="Arial"/>
        <family val="0"/>
        <charset val="1"/>
      </rPr>
      <t xml:space="preserve">0→12</t>
    </r>
    <r>
      <rPr>
        <sz val="10"/>
        <rFont val="Noto Sans CJK SC"/>
        <family val="2"/>
      </rPr>
      <t xml:space="preserve">本に補充</t>
    </r>
  </si>
  <si>
    <r>
      <rPr>
        <sz val="10"/>
        <rFont val="Arial"/>
        <family val="0"/>
        <charset val="1"/>
      </rPr>
      <t xml:space="preserve">theme_queue </t>
    </r>
    <r>
      <rPr>
        <sz val="10"/>
        <rFont val="Noto Sans CJK SC"/>
        <family val="2"/>
      </rPr>
      <t xml:space="preserve">が空。本日の自動制作が起動できない状態だった</t>
    </r>
  </si>
  <si>
    <t xml:space="preserve">制作停止の回避</t>
  </si>
  <si>
    <t xml:space="preserve">実施済み</t>
  </si>
  <si>
    <t xml:space="preserve">翌日のキュー残量が減っていること</t>
  </si>
  <si>
    <r>
      <rPr>
        <b val="true"/>
        <sz val="10"/>
        <rFont val="Noto Sans CJK SC"/>
        <family val="2"/>
      </rPr>
      <t xml:space="preserve">全</t>
    </r>
    <r>
      <rPr>
        <b val="true"/>
        <sz val="10"/>
        <rFont val="Arial"/>
        <family val="0"/>
        <charset val="1"/>
      </rPr>
      <t xml:space="preserve">6ch</t>
    </r>
  </si>
  <si>
    <r>
      <rPr>
        <sz val="10"/>
        <rFont val="Noto Sans CJK SC"/>
        <family val="2"/>
      </rPr>
      <t xml:space="preserve">テーマキューを計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本補充（各</t>
    </r>
    <r>
      <rPr>
        <sz val="10"/>
        <rFont val="Arial"/>
        <family val="0"/>
        <charset val="1"/>
      </rPr>
      <t xml:space="preserve">ch12</t>
    </r>
    <r>
      <rPr>
        <sz val="10"/>
        <rFont val="Noto Sans CJK SC"/>
        <family val="2"/>
      </rPr>
      <t xml:space="preserve">本以上を確保）</t>
    </r>
  </si>
  <si>
    <r>
      <rPr>
        <sz val="10"/>
        <rFont val="Arial"/>
        <family val="0"/>
        <charset val="1"/>
      </rPr>
      <t xml:space="preserve">daily-science 5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/ pokemon-lab 7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/ company-facts 8</t>
    </r>
    <r>
      <rPr>
        <sz val="10"/>
        <rFont val="Noto Sans CJK SC"/>
        <family val="2"/>
      </rPr>
      <t xml:space="preserve">本と枯渇寸前</t>
    </r>
  </si>
  <si>
    <t xml:space="preserve">制作の連続性確保</t>
  </si>
  <si>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queue</t>
    </r>
    <r>
      <rPr>
        <sz val="10"/>
        <rFont val="Noto Sans CJK SC"/>
        <family val="2"/>
      </rPr>
      <t xml:space="preserve">長を毎日監視</t>
    </r>
  </si>
  <si>
    <t xml:space="preserve">daily-science / scp-lab / pokemon-lab / yokai-watch</t>
  </si>
  <si>
    <r>
      <rPr>
        <sz val="10"/>
        <rFont val="Noto Sans CJK SC"/>
        <family val="2"/>
      </rPr>
      <t xml:space="preserve">読み上げ速度 </t>
    </r>
    <r>
      <rPr>
        <sz val="10"/>
        <rFont val="Arial"/>
        <family val="0"/>
        <charset val="1"/>
      </rPr>
      <t xml:space="preserve">1.3→1.2</t>
    </r>
    <r>
      <rPr>
        <sz val="10"/>
        <rFont val="Noto Sans CJK SC"/>
        <family val="2"/>
      </rPr>
      <t xml:space="preserve">【仮説検証】</t>
    </r>
  </si>
  <si>
    <r>
      <rPr>
        <sz val="10"/>
        <rFont val="Arial"/>
        <family val="0"/>
        <charset val="1"/>
      </rPr>
      <t xml:space="preserve">speed=1.2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のみ平均視聴</t>
    </r>
    <r>
      <rPr>
        <sz val="10"/>
        <rFont val="Arial"/>
        <family val="0"/>
        <charset val="1"/>
      </rPr>
      <t xml:space="preserve">33.9</t>
    </r>
    <r>
      <rPr>
        <sz val="10"/>
        <rFont val="Noto Sans CJK SC"/>
        <family val="2"/>
      </rPr>
      <t xml:space="preserve">秒＝他</t>
    </r>
    <r>
      <rPr>
        <sz val="10"/>
        <rFont val="Arial"/>
        <family val="0"/>
        <charset val="1"/>
      </rPr>
      <t xml:space="preserve">ch(14.8-17.3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倍・登録転換</t>
    </r>
    <r>
      <rPr>
        <sz val="10"/>
        <rFont val="Arial"/>
        <family val="0"/>
        <charset val="1"/>
      </rPr>
      <t xml:space="preserve">0.076%</t>
    </r>
    <r>
      <rPr>
        <sz val="10"/>
        <rFont val="Noto Sans CJK SC"/>
        <family val="2"/>
      </rPr>
      <t xml:space="preserve">で最良。</t>
    </r>
    <r>
      <rPr>
        <sz val="10"/>
        <rFont val="Arial"/>
        <family val="0"/>
        <charset val="1"/>
      </rPr>
      <t xml:space="preserve">speed </t>
    </r>
    <r>
      <rPr>
        <sz val="10"/>
        <rFont val="Noto Sans CJK SC"/>
        <family val="2"/>
      </rPr>
      <t xml:space="preserve">が設定上の唯一の差分。ただし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は推定尺</t>
    </r>
    <r>
      <rPr>
        <sz val="10"/>
        <rFont val="Arial"/>
        <family val="0"/>
        <charset val="1"/>
      </rPr>
      <t xml:space="preserve">55.5</t>
    </r>
    <r>
      <rPr>
        <sz val="10"/>
        <rFont val="Noto Sans CJK SC"/>
        <family val="2"/>
      </rPr>
      <t xml:space="preserve">秒（最長）でもあり速度単独の効果とは分離できていない</t>
    </r>
  </si>
  <si>
    <r>
      <rPr>
        <sz val="10"/>
        <rFont val="Noto Sans CJK SC"/>
        <family val="2"/>
      </rPr>
      <t xml:space="preserve">絶対視聴秒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秒超へ</t>
    </r>
  </si>
  <si>
    <t xml:space="preserve">実施済み（要検証）</t>
  </si>
  <si>
    <r>
      <rPr>
        <sz val="10"/>
        <rFont val="Noto Sans CJK SC"/>
        <family val="2"/>
      </rPr>
      <t xml:space="preserve">対照群 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との絶対視聴秒の差を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日追跡。改善しなければ</t>
    </r>
    <r>
      <rPr>
        <sz val="10"/>
        <rFont val="Arial"/>
        <family val="0"/>
        <charset val="1"/>
      </rPr>
      <t xml:space="preserve">1.3</t>
    </r>
    <r>
      <rPr>
        <sz val="10"/>
        <rFont val="Noto Sans CJK SC"/>
        <family val="2"/>
      </rPr>
      <t xml:space="preserve">へ戻す</t>
    </r>
  </si>
  <si>
    <t xml:space="preserve">2ch-matome</t>
  </si>
  <si>
    <r>
      <rPr>
        <sz val="10"/>
        <rFont val="Noto Sans CJK SC"/>
        <family val="2"/>
      </rPr>
      <t xml:space="preserve">読み上げ速度 </t>
    </r>
    <r>
      <rPr>
        <sz val="10"/>
        <rFont val="Arial"/>
        <family val="0"/>
        <charset val="1"/>
      </rPr>
      <t xml:space="preserve">1.35→1.25</t>
    </r>
    <r>
      <rPr>
        <sz val="10"/>
        <rFont val="Noto Sans CJK SC"/>
        <family val="2"/>
      </rPr>
      <t xml:space="preserve">【仮説検証】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</si>
  <si>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最速。掲示板ノリのテンポを残すため中間値に留めた。なお</t>
    </r>
    <r>
      <rPr>
        <sz val="10"/>
        <rFont val="Arial"/>
        <family val="0"/>
        <charset val="1"/>
      </rPr>
      <t xml:space="preserve">2ch-matome</t>
    </r>
    <r>
      <rPr>
        <sz val="10"/>
        <rFont val="Noto Sans CJK SC"/>
        <family val="2"/>
      </rPr>
      <t xml:space="preserve">は最速でありながら維持率</t>
    </r>
    <r>
      <rPr>
        <sz val="10"/>
        <rFont val="Arial"/>
        <family val="0"/>
        <charset val="1"/>
      </rPr>
      <t xml:space="preserve">52.4%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位）で、速度仮説の反例にあたる（尺</t>
    </r>
    <r>
      <rPr>
        <sz val="10"/>
        <rFont val="Arial"/>
        <family val="0"/>
        <charset val="1"/>
      </rPr>
      <t xml:space="preserve">30.7</t>
    </r>
    <r>
      <rPr>
        <sz val="10"/>
        <rFont val="Noto Sans CJK SC"/>
        <family val="2"/>
      </rPr>
      <t xml:space="preserve">秒＝最短による機械的な高率）</t>
    </r>
  </si>
  <si>
    <t xml:space="preserve">絶対視聴秒の改善</t>
  </si>
  <si>
    <r>
      <rPr>
        <sz val="10"/>
        <rFont val="Noto Sans CJK SC"/>
        <family val="2"/>
      </rPr>
      <t xml:space="preserve">同上。改善しなければ</t>
    </r>
    <r>
      <rPr>
        <sz val="10"/>
        <rFont val="Arial"/>
        <family val="0"/>
        <charset val="1"/>
      </rPr>
      <t xml:space="preserve">1.35</t>
    </r>
    <r>
      <rPr>
        <sz val="10"/>
        <rFont val="Noto Sans CJK SC"/>
        <family val="2"/>
      </rPr>
      <t xml:space="preserve">へ戻す</t>
    </r>
  </si>
  <si>
    <t xml:space="preserve">scp-lab / pokemon-lab / daily-science / yokai-watch</t>
  </si>
  <si>
    <r>
      <rPr>
        <sz val="10"/>
        <rFont val="Arial"/>
        <family val="0"/>
        <charset val="1"/>
      </rPr>
      <t xml:space="preserve">short_format </t>
    </r>
    <r>
      <rPr>
        <sz val="10"/>
        <rFont val="Noto Sans CJK SC"/>
        <family val="2"/>
      </rPr>
      <t xml:space="preserve">に「答えの遅延」ルールを追加</t>
    </r>
  </si>
  <si>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は維持率</t>
    </r>
    <r>
      <rPr>
        <sz val="10"/>
        <rFont val="Arial"/>
        <family val="0"/>
        <charset val="1"/>
      </rPr>
      <t xml:space="preserve">40.3%</t>
    </r>
    <r>
      <rPr>
        <sz val="10"/>
        <rFont val="Noto Sans CJK SC"/>
        <family val="2"/>
      </rPr>
      <t xml:space="preserve">・平均視聴</t>
    </r>
    <r>
      <rPr>
        <sz val="10"/>
        <rFont val="Arial"/>
        <family val="0"/>
        <charset val="1"/>
      </rPr>
      <t xml:space="preserve">14.8</t>
    </r>
    <r>
      <rPr>
        <sz val="10"/>
        <rFont val="Noto Sans CJK SC"/>
        <family val="2"/>
      </rPr>
      <t xml:space="preserve">秒でいずれも全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最下位。各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とも推定尺の</t>
    </r>
    <r>
      <rPr>
        <sz val="10"/>
        <rFont val="Arial"/>
        <family val="0"/>
        <charset val="1"/>
      </rPr>
      <t xml:space="preserve">39-46%</t>
    </r>
    <r>
      <rPr>
        <sz val="10"/>
        <rFont val="Noto Sans CJK SC"/>
        <family val="2"/>
      </rPr>
      <t xml:space="preserve">地点で離脱しており、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行目で核心を出し切る構成が原因</t>
    </r>
  </si>
  <si>
    <t xml:space="preserve">後半維持率の改善</t>
  </si>
  <si>
    <r>
      <rPr>
        <sz val="10"/>
        <rFont val="Noto Sans CJK SC"/>
        <family val="2"/>
      </rPr>
      <t xml:space="preserve">生成台本の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行目に結論が置かれているか目視</t>
    </r>
  </si>
  <si>
    <t xml:space="preserve">エンドカードを登録訴求型に変更</t>
  </si>
  <si>
    <r>
      <rPr>
        <sz val="10"/>
        <rFont val="Noto Sans CJK SC"/>
        <family val="2"/>
      </rPr>
      <t xml:space="preserve">登録転換率</t>
    </r>
    <r>
      <rPr>
        <sz val="10"/>
        <rFont val="Arial"/>
        <family val="0"/>
        <charset val="1"/>
      </rPr>
      <t xml:space="preserve">0.016%</t>
    </r>
    <r>
      <rPr>
        <sz val="10"/>
        <rFont val="Noto Sans CJK SC"/>
        <family val="2"/>
      </rPr>
      <t xml:space="preserve">で全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最下位（最良の </t>
    </r>
    <r>
      <rPr>
        <sz val="10"/>
        <rFont val="Arial"/>
        <family val="0"/>
        <charset val="1"/>
      </rPr>
      <t xml:space="preserve">company-facts 0.076%</t>
    </r>
    <r>
      <rPr>
        <sz val="10"/>
        <rFont val="Noto Sans CJK SC"/>
        <family val="2"/>
      </rPr>
      <t xml:space="preserve">の約</t>
    </r>
    <r>
      <rPr>
        <sz val="10"/>
        <rFont val="Arial"/>
        <family val="0"/>
        <charset val="1"/>
      </rPr>
      <t xml:space="preserve">1/5</t>
    </r>
    <r>
      <rPr>
        <sz val="10"/>
        <rFont val="Noto Sans CJK SC"/>
        <family val="2"/>
      </rPr>
      <t xml:space="preserve">）。参加型お題でコメント誘導はできているが登録動線が無かった</t>
    </r>
  </si>
  <si>
    <r>
      <rPr>
        <sz val="10"/>
        <rFont val="Noto Sans CJK SC"/>
        <family val="2"/>
      </rPr>
      <t xml:space="preserve">登録転換率を</t>
    </r>
    <r>
      <rPr>
        <sz val="10"/>
        <rFont val="Arial"/>
        <family val="0"/>
        <charset val="1"/>
      </rPr>
      <t xml:space="preserve">0.03%</t>
    </r>
    <r>
      <rPr>
        <sz val="10"/>
        <rFont val="Noto Sans CJK SC"/>
        <family val="2"/>
      </rPr>
      <t xml:space="preserve">以上へ</t>
    </r>
  </si>
  <si>
    <t xml:space="preserve">翌週コホートの登録転換率</t>
  </si>
  <si>
    <t xml:space="preserve">ナンバリング型タイトル禁止の維持</t>
  </si>
  <si>
    <r>
      <rPr>
        <sz val="10"/>
        <rFont val="Arial"/>
        <family val="0"/>
        <charset val="1"/>
      </rPr>
      <t xml:space="preserve">AVP 33.3%(</t>
    </r>
    <r>
      <rPr>
        <sz val="10"/>
        <rFont val="Noto Sans CJK SC"/>
        <family val="2"/>
      </rPr>
      <t xml:space="preserve">ナンバリング</t>
    </r>
    <r>
      <rPr>
        <sz val="10"/>
        <rFont val="Arial"/>
        <family val="0"/>
        <charset val="1"/>
      </rPr>
      <t xml:space="preserve">) vs 52.3%(</t>
    </r>
    <r>
      <rPr>
        <sz val="10"/>
        <rFont val="Noto Sans CJK SC"/>
        <family val="2"/>
      </rPr>
      <t xml:space="preserve">自然文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08-31</t>
    </r>
    <r>
      <rPr>
        <sz val="10"/>
        <rFont val="Noto Sans CJK SC"/>
        <family val="2"/>
      </rPr>
      <t xml:space="preserve">適用ルールにより</t>
    </r>
    <r>
      <rPr>
        <sz val="10"/>
        <rFont val="Arial"/>
        <family val="0"/>
        <charset val="1"/>
      </rPr>
      <t xml:space="preserve">08-31</t>
    </r>
    <r>
      <rPr>
        <sz val="10"/>
        <rFont val="Noto Sans CJK SC"/>
        <family val="2"/>
      </rPr>
      <t xml:space="preserve">公開分は</t>
    </r>
    <r>
      <rPr>
        <sz val="10"/>
        <rFont val="Arial"/>
        <family val="0"/>
        <charset val="1"/>
      </rPr>
      <t xml:space="preserve">0/7</t>
    </r>
    <r>
      <rPr>
        <sz val="10"/>
        <rFont val="Noto Sans CJK SC"/>
        <family val="2"/>
      </rPr>
      <t xml:space="preserve">本で遵守されている</t>
    </r>
  </si>
  <si>
    <t xml:space="preserve">維持率の下支え</t>
  </si>
  <si>
    <t xml:space="preserve">継続中</t>
  </si>
  <si>
    <t xml:space="preserve">公開日別のナンバリング混入本数を毎日確認</t>
  </si>
  <si>
    <t xml:space="preserve">company-facts</t>
  </si>
  <si>
    <t xml:space="preserve">投稿本数の増加を検討</t>
  </si>
  <si>
    <r>
      <rPr>
        <sz val="10"/>
        <rFont val="Noto Sans CJK SC"/>
        <family val="2"/>
      </rPr>
      <t xml:space="preserve">維持率</t>
    </r>
    <r>
      <rPr>
        <sz val="10"/>
        <rFont val="Arial"/>
        <family val="0"/>
        <charset val="1"/>
      </rPr>
      <t xml:space="preserve">58.5% / </t>
    </r>
    <r>
      <rPr>
        <sz val="10"/>
        <rFont val="Noto Sans CJK SC"/>
        <family val="2"/>
      </rPr>
      <t xml:space="preserve">絶対視聴</t>
    </r>
    <r>
      <rPr>
        <sz val="10"/>
        <rFont val="Arial"/>
        <family val="0"/>
        <charset val="1"/>
      </rPr>
      <t xml:space="preserve">33.9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登録転換</t>
    </r>
    <r>
      <rPr>
        <sz val="10"/>
        <rFont val="Arial"/>
        <family val="0"/>
        <charset val="1"/>
      </rPr>
      <t xml:space="preserve">0.076% / </t>
    </r>
    <r>
      <rPr>
        <sz val="10"/>
        <rFont val="Noto Sans CJK SC"/>
        <family val="2"/>
      </rPr>
      <t xml:space="preserve">中央値再生</t>
    </r>
    <r>
      <rPr>
        <sz val="10"/>
        <rFont val="Arial"/>
        <family val="0"/>
        <charset val="1"/>
      </rPr>
      <t xml:space="preserve">1,284 </t>
    </r>
    <r>
      <rPr>
        <sz val="10"/>
        <rFont val="Noto Sans CJK SC"/>
        <family val="2"/>
      </rPr>
      <t xml:space="preserve">と全指標で最良。にもかかわらず本数は最少水準</t>
    </r>
  </si>
  <si>
    <t xml:space="preserve">登録者増の最短経路</t>
  </si>
  <si>
    <t xml:space="preserve">保留（判断待ち）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</si>
  <si>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本化した場合の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本あたり再生の希釈を測定</t>
    </r>
  </si>
  <si>
    <t xml:space="preserve">運用方針</t>
  </si>
  <si>
    <t xml:space="preserve">「サムネ品質最優先」の見直しを提案</t>
  </si>
  <si>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合計のサムネ</t>
    </r>
    <r>
      <rPr>
        <sz val="10"/>
        <rFont val="Arial"/>
        <family val="0"/>
        <charset val="1"/>
      </rPr>
      <t xml:space="preserve">imp 18,365</t>
    </r>
    <r>
      <rPr>
        <sz val="10"/>
        <rFont val="Noto Sans CJK SC"/>
        <family val="2"/>
      </rPr>
      <t xml:space="preserve">に対しコホート総再生は</t>
    </r>
    <r>
      <rPr>
        <sz val="10"/>
        <rFont val="Arial"/>
        <family val="0"/>
        <charset val="1"/>
      </rPr>
      <t xml:space="preserve">151,975</t>
    </r>
    <r>
      <rPr>
        <sz val="10"/>
        <rFont val="Noto Sans CJK SC"/>
        <family val="2"/>
      </rPr>
      <t xml:space="preserve">。サムネ経由は総流入の十数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以下に留まり、大半はショートフィード流入</t>
    </r>
  </si>
  <si>
    <t xml:space="preserve">改善リソースの再配分</t>
  </si>
  <si>
    <t xml:space="preserve">要判断</t>
  </si>
  <si>
    <t xml:space="preserve">ユーザー判断待ち。方針変更は指示があるまで行わない</t>
  </si>
  <si>
    <t xml:space="preserve">データ基盤</t>
  </si>
  <si>
    <r>
      <rPr>
        <sz val="10"/>
        <rFont val="Arial"/>
        <family val="0"/>
        <charset val="1"/>
      </rPr>
      <t xml:space="preserve">channel_metrics </t>
    </r>
    <r>
      <rPr>
        <sz val="10"/>
        <rFont val="Noto Sans CJK SC"/>
        <family val="2"/>
      </rPr>
      <t xml:space="preserve">の取得欠損を修正</t>
    </r>
  </si>
  <si>
    <r>
      <rPr>
        <sz val="10"/>
        <rFont val="Arial"/>
        <family val="0"/>
        <charset val="1"/>
      </rPr>
      <t xml:space="preserve">channel_metrics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2026-08-29 </t>
    </r>
    <r>
      <rPr>
        <sz val="10"/>
        <rFont val="Noto Sans CJK SC"/>
        <family val="2"/>
      </rPr>
      <t xml:space="preserve">以降が欠損。</t>
    </r>
    <r>
      <rPr>
        <sz val="10"/>
        <rFont val="Arial"/>
        <family val="0"/>
        <charset val="1"/>
      </rPr>
      <t xml:space="preserve">video_metrics </t>
    </r>
    <r>
      <rPr>
        <sz val="10"/>
        <rFont val="Noto Sans CJK SC"/>
        <family val="2"/>
      </rPr>
      <t xml:space="preserve">も</t>
    </r>
    <r>
      <rPr>
        <sz val="10"/>
        <rFont val="Arial"/>
        <family val="0"/>
        <charset val="1"/>
      </rPr>
      <t xml:space="preserve">09-01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のみ取得</t>
    </r>
  </si>
  <si>
    <t xml:space="preserve">登録者数の直接追跡</t>
  </si>
  <si>
    <t xml:space="preserve">未対応</t>
  </si>
  <si>
    <t xml:space="preserve">バックエンド復旧後に取得ジョブの状態を確認</t>
  </si>
  <si>
    <t xml:space="preserve">トレンド分析</t>
  </si>
  <si>
    <t xml:space="preserve">① 日次増分再生（前日スナップショットとの差分）</t>
  </si>
  <si>
    <t xml:space="preserve">日付</t>
  </si>
  <si>
    <r>
      <rPr>
        <b val="true"/>
        <sz val="10"/>
        <color rgb="FFFFFFFF"/>
        <rFont val="Arial"/>
        <family val="0"/>
        <charset val="1"/>
      </rPr>
      <t xml:space="preserve">SCP</t>
    </r>
    <r>
      <rPr>
        <b val="true"/>
        <sz val="10"/>
        <color rgb="FFFFFFFF"/>
        <rFont val="Noto Sans CJK SC"/>
        <family val="2"/>
      </rPr>
      <t xml:space="preserve">研究所</t>
    </r>
  </si>
  <si>
    <r>
      <rPr>
        <b val="true"/>
        <sz val="10"/>
        <color rgb="FFFFFFFF"/>
        <rFont val="Arial"/>
        <family val="0"/>
        <charset val="1"/>
      </rPr>
      <t xml:space="preserve">2ch</t>
    </r>
    <r>
      <rPr>
        <b val="true"/>
        <sz val="10"/>
        <color rgb="FFFFFFFF"/>
        <rFont val="Noto Sans CJK SC"/>
        <family val="2"/>
      </rPr>
      <t xml:space="preserve">まとめ</t>
    </r>
  </si>
  <si>
    <t xml:space="preserve">合計</t>
  </si>
  <si>
    <t xml:space="preserve">2026-08-31</t>
  </si>
  <si>
    <t xml:space="preserve">平均</t>
  </si>
  <si>
    <t xml:space="preserve">② 維持率帯別パフォーマンス（維持率が再生数を決めている）</t>
  </si>
  <si>
    <t xml:space="preserve">維持率帯</t>
  </si>
  <si>
    <t xml:space="preserve">0-30%</t>
  </si>
  <si>
    <t xml:space="preserve">30-45%</t>
  </si>
  <si>
    <t xml:space="preserve">45-60%</t>
  </si>
  <si>
    <t xml:space="preserve">60-101%</t>
  </si>
  <si>
    <r>
      <rPr>
        <b val="true"/>
        <sz val="10"/>
        <rFont val="Noto Sans CJK SC"/>
        <family val="2"/>
      </rPr>
      <t xml:space="preserve">③ 平均視聴秒数帯別（</t>
    </r>
    <r>
      <rPr>
        <b val="true"/>
        <sz val="10"/>
        <rFont val="Arial"/>
        <family val="0"/>
        <charset val="1"/>
      </rPr>
      <t xml:space="preserve">25</t>
    </r>
    <r>
      <rPr>
        <b val="true"/>
        <sz val="10"/>
        <rFont val="Noto Sans CJK SC"/>
        <family val="2"/>
      </rPr>
      <t xml:space="preserve">秒以上視聴されると登録転換が跳ねる）</t>
    </r>
  </si>
  <si>
    <t xml:space="preserve">視聴秒数帯</t>
  </si>
  <si>
    <r>
      <rPr>
        <sz val="10"/>
        <rFont val="Arial"/>
        <family val="0"/>
        <charset val="1"/>
      </rPr>
      <t xml:space="preserve">0-13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</si>
  <si>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13-18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</si>
  <si>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18-25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</si>
  <si>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25-99</t>
    </r>
    <r>
      <rPr>
        <sz val="10"/>
        <rFont val="Noto Sans CJK SC"/>
        <family val="2"/>
      </rPr>
      <t xml:space="preserve">秒</t>
    </r>
  </si>
  <si>
    <t xml:space="preserve">④ 推定尺別（尺そのものは維持率を説明しない＝速度仮説の裏付け）</t>
  </si>
  <si>
    <t xml:space="preserve">推定尺帯</t>
  </si>
  <si>
    <r>
      <rPr>
        <sz val="10"/>
        <rFont val="Arial"/>
        <family val="0"/>
        <charset val="1"/>
      </rPr>
      <t xml:space="preserve">0-35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</si>
  <si>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35-45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</si>
  <si>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45-55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</si>
  <si>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55-200</t>
    </r>
    <r>
      <rPr>
        <sz val="10"/>
        <rFont val="Noto Sans CJK SC"/>
        <family val="2"/>
      </rPr>
      <t xml:space="preserve">秒</t>
    </r>
  </si>
  <si>
    <t xml:space="preserve">⑤ タイトル形式別（ナンバリング禁止ルールの妥当性）</t>
  </si>
  <si>
    <t xml:space="preserve">タイトル形式</t>
  </si>
  <si>
    <r>
      <rPr>
        <sz val="10"/>
        <rFont val="Noto Sans CJK SC"/>
        <family val="2"/>
      </rPr>
      <t xml:space="preserve">ナンバリング型 </t>
    </r>
    <r>
      <rPr>
        <sz val="10"/>
        <rFont val="Arial"/>
        <family val="0"/>
        <charset val="1"/>
      </rPr>
      <t xml:space="preserve">(#NN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)</t>
    </r>
  </si>
  <si>
    <t xml:space="preserve">自然文タイトル</t>
  </si>
  <si>
    <r>
      <rPr>
        <i val="true"/>
        <sz val="9"/>
        <color rgb="FF666666"/>
        <rFont val="Noto Sans CJK SC"/>
        <family val="2"/>
      </rPr>
      <t xml:space="preserve">注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上記②〜⑤は同一コホート（</t>
    </r>
    <r>
      <rPr>
        <i val="true"/>
        <sz val="9"/>
        <color rgb="FF666666"/>
        <rFont val="Arial"/>
        <family val="0"/>
        <charset val="1"/>
      </rPr>
      <t xml:space="preserve">published_at&gt;=2026-08-10</t>
    </r>
    <r>
      <rPr>
        <i val="true"/>
        <sz val="9"/>
        <color rgb="FF666666"/>
        <rFont val="Noto Sans CJK SC"/>
        <family val="2"/>
      </rPr>
      <t xml:space="preserve">・再生</t>
    </r>
    <r>
      <rPr>
        <i val="true"/>
        <sz val="9"/>
        <color rgb="FF666666"/>
        <rFont val="Arial"/>
        <family val="0"/>
        <charset val="1"/>
      </rPr>
      <t xml:space="preserve">150</t>
    </r>
    <r>
      <rPr>
        <i val="true"/>
        <sz val="9"/>
        <color rgb="FF666666"/>
        <rFont val="Noto Sans CJK SC"/>
        <family val="2"/>
      </rPr>
      <t xml:space="preserve">超・</t>
    </r>
    <r>
      <rPr>
        <i val="true"/>
        <sz val="9"/>
        <color rgb="FF666666"/>
        <rFont val="Arial"/>
        <family val="0"/>
        <charset val="1"/>
      </rPr>
      <t xml:space="preserve">n=138</t>
    </r>
    <r>
      <rPr>
        <i val="true"/>
        <sz val="9"/>
        <color rgb="FF666666"/>
        <rFont val="Noto Sans CJK SC"/>
        <family val="2"/>
      </rPr>
      <t xml:space="preserve">）に対する層別集計。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</si>
</sst>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\s"/>
    <numFmt numFmtId="168" formatCode="0.000%"/>
    <numFmt numFmtId="169" formatCode="0.00%"/>
    <numFmt numFmtId="170" formatCode="0"/>
    <numFmt numFmtId="171" formatCode="0.00"/>
    <numFmt numFmtId="172" formatCode="0\s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2"/>
      <color rgb="FF1F3864"/>
      <name val="Noto Sans CJK SC"/>
      <family val="2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5" t="n">
        <v>25</v>
      </c>
      <c r="C6" s="5" t="n">
        <v>21286</v>
      </c>
      <c r="D6" s="5" t="n">
        <v>890</v>
      </c>
      <c r="E6" s="6" t="n">
        <v>0.423</v>
      </c>
      <c r="F6" s="7" t="n">
        <v>15</v>
      </c>
      <c r="G6" s="7" t="n">
        <v>36.8</v>
      </c>
      <c r="H6" s="5" t="n">
        <v>10</v>
      </c>
      <c r="I6" s="8" t="n">
        <f aca="false">IF(C6=0,0,H6/C6)</f>
        <v>0.000469792351780513</v>
      </c>
      <c r="J6" s="9" t="n">
        <f aca="false">IF(C6=0,0,106/C6)</f>
        <v>0.00497979892887344</v>
      </c>
      <c r="K6" s="10" t="s">
        <v>15</v>
      </c>
    </row>
    <row r="7" customFormat="false" ht="15" hidden="false" customHeight="false" outlineLevel="0" collapsed="false">
      <c r="A7" s="11" t="s">
        <v>16</v>
      </c>
      <c r="B7" s="5" t="n">
        <v>23</v>
      </c>
      <c r="C7" s="5" t="n">
        <v>19637</v>
      </c>
      <c r="D7" s="5" t="n">
        <v>940</v>
      </c>
      <c r="E7" s="6" t="n">
        <v>0.403</v>
      </c>
      <c r="F7" s="7" t="n">
        <v>14.8</v>
      </c>
      <c r="G7" s="7" t="n">
        <v>39.8</v>
      </c>
      <c r="H7" s="5" t="n">
        <v>13</v>
      </c>
      <c r="I7" s="8" t="n">
        <f aca="false">IF(C7=0,0,H7/C7)</f>
        <v>0.000662015582828334</v>
      </c>
      <c r="J7" s="9" t="n">
        <f aca="false">IF(C7=0,0,78/C7)</f>
        <v>0.00397209349697001</v>
      </c>
      <c r="K7" s="10" t="s">
        <v>15</v>
      </c>
    </row>
    <row r="8" customFormat="false" ht="15" hidden="false" customHeight="false" outlineLevel="0" collapsed="false">
      <c r="A8" s="11" t="s">
        <v>17</v>
      </c>
      <c r="B8" s="5" t="n">
        <v>29</v>
      </c>
      <c r="C8" s="5" t="n">
        <v>31008</v>
      </c>
      <c r="D8" s="5" t="n">
        <v>1086</v>
      </c>
      <c r="E8" s="6" t="n">
        <v>0.524</v>
      </c>
      <c r="F8" s="7" t="n">
        <v>15.6</v>
      </c>
      <c r="G8" s="7" t="n">
        <v>30.7</v>
      </c>
      <c r="H8" s="5" t="n">
        <v>5</v>
      </c>
      <c r="I8" s="8" t="n">
        <f aca="false">IF(C8=0,0,H8/C8)</f>
        <v>0.00016124871001032</v>
      </c>
      <c r="J8" s="9" t="n">
        <f aca="false">IF(C8=0,0,79/C8)</f>
        <v>0.00254772961816306</v>
      </c>
      <c r="K8" s="12" t="s">
        <v>18</v>
      </c>
    </row>
    <row r="9" customFormat="false" ht="15" hidden="false" customHeight="false" outlineLevel="0" collapsed="false">
      <c r="A9" s="4" t="s">
        <v>19</v>
      </c>
      <c r="B9" s="5" t="n">
        <v>21</v>
      </c>
      <c r="C9" s="5" t="n">
        <v>24606</v>
      </c>
      <c r="D9" s="5" t="n">
        <v>1051</v>
      </c>
      <c r="E9" s="6" t="n">
        <v>0.431</v>
      </c>
      <c r="F9" s="7" t="n">
        <v>16.4</v>
      </c>
      <c r="G9" s="7" t="n">
        <v>41.6</v>
      </c>
      <c r="H9" s="5" t="n">
        <v>6</v>
      </c>
      <c r="I9" s="8" t="n">
        <f aca="false">IF(C9=0,0,H9/C9)</f>
        <v>0.000243842965130456</v>
      </c>
      <c r="J9" s="9" t="n">
        <f aca="false">IF(C9=0,0,55/C9)</f>
        <v>0.00223522718036251</v>
      </c>
      <c r="K9" s="10" t="s">
        <v>15</v>
      </c>
    </row>
    <row r="10" customFormat="false" ht="15" hidden="false" customHeight="false" outlineLevel="0" collapsed="false">
      <c r="A10" s="4" t="s">
        <v>20</v>
      </c>
      <c r="B10" s="5" t="n">
        <v>20</v>
      </c>
      <c r="C10" s="5" t="n">
        <v>22737</v>
      </c>
      <c r="D10" s="5" t="n">
        <v>977</v>
      </c>
      <c r="E10" s="6" t="n">
        <v>0.466</v>
      </c>
      <c r="F10" s="7" t="n">
        <v>17.3</v>
      </c>
      <c r="G10" s="7" t="n">
        <v>37.5</v>
      </c>
      <c r="H10" s="5" t="n">
        <v>5</v>
      </c>
      <c r="I10" s="8" t="n">
        <f aca="false">IF(C10=0,0,H10/C10)</f>
        <v>0.000219905880283239</v>
      </c>
      <c r="J10" s="9" t="n">
        <f aca="false">IF(C10=0,0,88/C10)</f>
        <v>0.003870343492985</v>
      </c>
      <c r="K10" s="10" t="s">
        <v>15</v>
      </c>
    </row>
    <row r="11" customFormat="false" ht="15" hidden="false" customHeight="false" outlineLevel="0" collapsed="false">
      <c r="A11" s="4" t="s">
        <v>21</v>
      </c>
      <c r="B11" s="5" t="n">
        <v>20</v>
      </c>
      <c r="C11" s="5" t="n">
        <v>32701</v>
      </c>
      <c r="D11" s="5" t="n">
        <v>1284</v>
      </c>
      <c r="E11" s="6" t="n">
        <v>0.585</v>
      </c>
      <c r="F11" s="7" t="n">
        <v>33.9</v>
      </c>
      <c r="G11" s="7" t="n">
        <v>55.5</v>
      </c>
      <c r="H11" s="5" t="n">
        <v>25</v>
      </c>
      <c r="I11" s="8" t="n">
        <f aca="false">IF(C11=0,0,H11/C11)</f>
        <v>0.000764502614598942</v>
      </c>
      <c r="J11" s="9" t="n">
        <f aca="false">IF(C11=0,0,122/C11)</f>
        <v>0.00373077275924284</v>
      </c>
      <c r="K11" s="13" t="s">
        <v>22</v>
      </c>
    </row>
    <row r="12" customFormat="false" ht="15" hidden="false" customHeight="false" outlineLevel="0" collapsed="false">
      <c r="A12" s="4" t="s">
        <v>23</v>
      </c>
      <c r="B12" s="14" t="n">
        <f aca="false">SUM(B6:B11)</f>
        <v>138</v>
      </c>
      <c r="C12" s="14" t="n">
        <f aca="false">SUM(C6:C11)</f>
        <v>151975</v>
      </c>
      <c r="E12" s="15" t="n">
        <f aca="false">SUMPRODUCT(C6:C11,E6:E11)/SUM(C6:C11)</f>
        <v>0.483609764763941</v>
      </c>
      <c r="F12" s="16" t="n">
        <f aca="false">SUMPRODUCT(C6:C11,F6:F11)/SUM(C6:C11)</f>
        <v>19.7341325875966</v>
      </c>
      <c r="H12" s="14" t="n">
        <f aca="false">SUM(H6:H11)</f>
        <v>64</v>
      </c>
      <c r="I12" s="17" t="n">
        <f aca="false">H12/C12</f>
        <v>0.000421121895048528</v>
      </c>
    </row>
    <row r="15" customFormat="false" ht="15" hidden="false" customHeight="false" outlineLevel="0" collapsed="false">
      <c r="A15" s="18" t="s">
        <v>24</v>
      </c>
    </row>
    <row r="16" customFormat="false" ht="15" hidden="false" customHeight="false" outlineLevel="0" collapsed="false">
      <c r="A16" s="19" t="s">
        <v>25</v>
      </c>
    </row>
    <row r="17" customFormat="false" ht="15" hidden="false" customHeight="false" outlineLevel="0" collapsed="false">
      <c r="A17" s="19" t="s">
        <v>26</v>
      </c>
    </row>
    <row r="18" customFormat="false" ht="15" hidden="false" customHeight="false" outlineLevel="0" collapsed="false">
      <c r="A18" s="20" t="s">
        <v>27</v>
      </c>
    </row>
    <row r="19" customFormat="false" ht="15" hidden="false" customHeight="false" outlineLevel="0" collapsed="false">
      <c r="A19" s="19" t="s">
        <v>28</v>
      </c>
    </row>
    <row r="20" customFormat="false" ht="15" hidden="false" customHeight="false" outlineLevel="0" collapsed="false">
      <c r="A20" s="19" t="s">
        <v>29</v>
      </c>
    </row>
    <row r="21" customFormat="false" ht="15" hidden="false" customHeight="false" outlineLevel="0" collapsed="false">
      <c r="A21" s="20" t="s">
        <v>30</v>
      </c>
    </row>
    <row r="22" customFormat="false" ht="15" hidden="false" customHeight="false" outlineLevel="0" collapsed="false">
      <c r="A22" s="20" t="s">
        <v>31</v>
      </c>
    </row>
    <row r="23" customFormat="false" ht="15" hidden="false" customHeight="false" outlineLevel="0" collapsed="false">
      <c r="A23" s="20" t="s">
        <v>32</v>
      </c>
    </row>
    <row r="24" customFormat="false" ht="15" hidden="false" customHeight="false" outlineLevel="0" collapsed="false">
      <c r="A24" s="19" t="s">
        <v>33</v>
      </c>
    </row>
    <row r="25" customFormat="false" ht="15" hidden="false" customHeight="false" outlineLevel="0" collapsed="false">
      <c r="A25" s="19" t="s">
        <v>34</v>
      </c>
    </row>
    <row r="26" customFormat="false" ht="15" hidden="false" customHeight="false" outlineLevel="0" collapsed="false">
      <c r="A26" s="20" t="s">
        <v>35</v>
      </c>
    </row>
    <row r="27" customFormat="false" ht="15" hidden="false" customHeight="false" outlineLevel="0" collapsed="false">
      <c r="A27" s="19" t="s">
        <v>36</v>
      </c>
    </row>
    <row r="28" customFormat="false" ht="15" hidden="false" customHeight="false" outlineLevel="0" collapsed="false">
      <c r="A28" s="1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52"/>
  </cols>
  <sheetData>
    <row r="1" customFormat="false" ht="21.6" hidden="false" customHeight="false" outlineLevel="0" collapsed="false">
      <c r="A1" s="21" t="s">
        <v>38</v>
      </c>
    </row>
    <row r="3" customFormat="false" ht="30" hidden="false" customHeight="true" outlineLevel="0" collapsed="false">
      <c r="A3" s="3" t="s">
        <v>3</v>
      </c>
      <c r="B3" s="22" t="s">
        <v>39</v>
      </c>
      <c r="C3" s="22" t="s">
        <v>40</v>
      </c>
      <c r="D3" s="3" t="s">
        <v>41</v>
      </c>
      <c r="E3" s="3" t="s">
        <v>11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22" t="s">
        <v>47</v>
      </c>
      <c r="L3" s="22" t="s">
        <v>48</v>
      </c>
      <c r="M3" s="3" t="s">
        <v>49</v>
      </c>
    </row>
    <row r="4" customFormat="false" ht="15" hidden="false" customHeight="false" outlineLevel="0" collapsed="false">
      <c r="A4" s="4" t="s">
        <v>14</v>
      </c>
      <c r="B4" s="5" t="n">
        <v>39003</v>
      </c>
      <c r="C4" s="5" t="n">
        <v>166</v>
      </c>
      <c r="D4" s="6" t="n">
        <v>0.423</v>
      </c>
      <c r="E4" s="8" t="n">
        <v>0.00047</v>
      </c>
      <c r="F4" s="5" t="n">
        <v>1506</v>
      </c>
      <c r="G4" s="5" t="n">
        <v>30</v>
      </c>
      <c r="H4" s="9" t="n">
        <f aca="false">IF(F4=0,0,G4/F4)</f>
        <v>0.0199203187250996</v>
      </c>
      <c r="I4" s="9" t="n">
        <f aca="false">IF(B4=0,0,G4/B4)</f>
        <v>0.000769171602184447</v>
      </c>
      <c r="J4" s="23" t="n">
        <v>13</v>
      </c>
      <c r="K4" s="24" t="n">
        <v>1.3</v>
      </c>
      <c r="L4" s="25" t="n">
        <v>1.2</v>
      </c>
      <c r="M4" s="26" t="s">
        <v>50</v>
      </c>
    </row>
    <row r="5" customFormat="false" ht="15" hidden="false" customHeight="false" outlineLevel="0" collapsed="false">
      <c r="A5" s="11" t="s">
        <v>16</v>
      </c>
      <c r="B5" s="5" t="n">
        <v>33770</v>
      </c>
      <c r="C5" s="5" t="n">
        <v>142</v>
      </c>
      <c r="D5" s="6" t="n">
        <v>0.403</v>
      </c>
      <c r="E5" s="8" t="n">
        <v>0.00066</v>
      </c>
      <c r="F5" s="5" t="n">
        <v>10961</v>
      </c>
      <c r="G5" s="5" t="n">
        <v>188</v>
      </c>
      <c r="H5" s="9" t="n">
        <f aca="false">IF(F5=0,0,G5/F5)</f>
        <v>0.017151719733601</v>
      </c>
      <c r="I5" s="9" t="n">
        <f aca="false">IF(B5=0,0,G5/B5)</f>
        <v>0.00556707136511697</v>
      </c>
      <c r="J5" s="23" t="n">
        <v>12</v>
      </c>
      <c r="K5" s="24" t="n">
        <v>1.3</v>
      </c>
      <c r="L5" s="25" t="n">
        <v>1.2</v>
      </c>
      <c r="M5" s="26" t="s">
        <v>51</v>
      </c>
    </row>
    <row r="6" customFormat="false" ht="15" hidden="false" customHeight="false" outlineLevel="0" collapsed="false">
      <c r="A6" s="11" t="s">
        <v>17</v>
      </c>
      <c r="B6" s="5" t="n">
        <v>32371</v>
      </c>
      <c r="C6" s="5" t="n">
        <v>82</v>
      </c>
      <c r="D6" s="6" t="n">
        <v>0.524</v>
      </c>
      <c r="E6" s="8" t="n">
        <v>0.00016</v>
      </c>
      <c r="F6" s="5" t="n">
        <v>709</v>
      </c>
      <c r="G6" s="5" t="n">
        <v>10</v>
      </c>
      <c r="H6" s="9" t="n">
        <f aca="false">IF(F6=0,0,G6/F6)</f>
        <v>0.0141043723554302</v>
      </c>
      <c r="I6" s="9" t="n">
        <f aca="false">IF(B6=0,0,G6/B6)</f>
        <v>0.000308918476414074</v>
      </c>
      <c r="J6" s="23" t="n">
        <v>18</v>
      </c>
      <c r="K6" s="24" t="n">
        <v>1.35</v>
      </c>
      <c r="L6" s="25" t="n">
        <v>1.25</v>
      </c>
      <c r="M6" s="26" t="s">
        <v>52</v>
      </c>
    </row>
    <row r="7" customFormat="false" ht="15" hidden="false" customHeight="false" outlineLevel="0" collapsed="false">
      <c r="A7" s="4" t="s">
        <v>19</v>
      </c>
      <c r="B7" s="5" t="n">
        <v>40371</v>
      </c>
      <c r="C7" s="5" t="n">
        <v>120</v>
      </c>
      <c r="D7" s="6" t="n">
        <v>0.431</v>
      </c>
      <c r="E7" s="8" t="n">
        <v>0.00024</v>
      </c>
      <c r="F7" s="5" t="n">
        <v>727</v>
      </c>
      <c r="G7" s="5" t="n">
        <v>8</v>
      </c>
      <c r="H7" s="9" t="n">
        <f aca="false">IF(F7=0,0,G7/F7)</f>
        <v>0.0110041265474553</v>
      </c>
      <c r="I7" s="9" t="n">
        <f aca="false">IF(B7=0,0,G7/B7)</f>
        <v>0.000198162047013946</v>
      </c>
      <c r="J7" s="23" t="n">
        <v>12</v>
      </c>
      <c r="K7" s="24" t="n">
        <v>1.3</v>
      </c>
      <c r="L7" s="25" t="n">
        <v>1.2</v>
      </c>
      <c r="M7" s="26" t="s">
        <v>53</v>
      </c>
    </row>
    <row r="8" customFormat="false" ht="15" hidden="false" customHeight="false" outlineLevel="0" collapsed="false">
      <c r="A8" s="4" t="s">
        <v>20</v>
      </c>
      <c r="B8" s="5" t="n">
        <v>39697</v>
      </c>
      <c r="C8" s="5" t="n">
        <v>145</v>
      </c>
      <c r="D8" s="6" t="n">
        <v>0.466</v>
      </c>
      <c r="E8" s="8" t="n">
        <v>0.00022</v>
      </c>
      <c r="F8" s="5" t="n">
        <v>1703</v>
      </c>
      <c r="G8" s="5" t="n">
        <v>22</v>
      </c>
      <c r="H8" s="9" t="n">
        <f aca="false">IF(F8=0,0,G8/F8)</f>
        <v>0.0129183793305931</v>
      </c>
      <c r="I8" s="9" t="n">
        <f aca="false">IF(B8=0,0,G8/B8)</f>
        <v>0.000554198050230496</v>
      </c>
      <c r="J8" s="23" t="n">
        <v>16</v>
      </c>
      <c r="K8" s="24" t="n">
        <v>1.3</v>
      </c>
      <c r="L8" s="25" t="n">
        <v>1.2</v>
      </c>
      <c r="M8" s="26" t="s">
        <v>54</v>
      </c>
    </row>
    <row r="9" customFormat="false" ht="15" hidden="false" customHeight="false" outlineLevel="0" collapsed="false">
      <c r="A9" s="4" t="s">
        <v>21</v>
      </c>
      <c r="B9" s="5" t="n">
        <v>35505</v>
      </c>
      <c r="C9" s="5" t="n">
        <v>142</v>
      </c>
      <c r="D9" s="6" t="n">
        <v>0.585</v>
      </c>
      <c r="E9" s="8" t="n">
        <v>0.00076</v>
      </c>
      <c r="F9" s="5" t="n">
        <v>2759</v>
      </c>
      <c r="G9" s="5" t="n">
        <v>75</v>
      </c>
      <c r="H9" s="9" t="n">
        <f aca="false">IF(F9=0,0,G9/F9)</f>
        <v>0.027183762232693</v>
      </c>
      <c r="I9" s="9" t="n">
        <f aca="false">IF(B9=0,0,G9/B9)</f>
        <v>0.00211237853823405</v>
      </c>
      <c r="J9" s="23" t="n">
        <v>16</v>
      </c>
      <c r="K9" s="24" t="n">
        <v>1.2</v>
      </c>
      <c r="L9" s="24" t="n">
        <v>1.2</v>
      </c>
      <c r="M9" s="27" t="s">
        <v>55</v>
      </c>
    </row>
    <row r="12" customFormat="false" ht="15" hidden="false" customHeight="false" outlineLevel="0" collapsed="false">
      <c r="A12" s="28" t="s">
        <v>56</v>
      </c>
    </row>
    <row r="13" customFormat="false" ht="15" hidden="false" customHeight="false" outlineLevel="0" collapsed="false">
      <c r="A13" s="20" t="s">
        <v>57</v>
      </c>
    </row>
    <row r="14" customFormat="false" ht="15" hidden="false" customHeight="false" outlineLevel="0" collapsed="false">
      <c r="A14" s="20" t="s">
        <v>58</v>
      </c>
    </row>
    <row r="15" customFormat="false" ht="15" hidden="false" customHeight="false" outlineLevel="0" collapsed="false">
      <c r="A15" s="19" t="s">
        <v>59</v>
      </c>
    </row>
    <row r="16" customFormat="false" ht="15" hidden="false" customHeight="false" outlineLevel="0" collapsed="false">
      <c r="A16" s="20" t="s">
        <v>60</v>
      </c>
    </row>
    <row r="17" customFormat="false" ht="15" hidden="false" customHeight="false" outlineLevel="0" collapsed="false">
      <c r="A17" s="19"/>
    </row>
    <row r="18" customFormat="false" ht="15" hidden="false" customHeight="false" outlineLevel="0" collapsed="false">
      <c r="A18" s="20" t="s">
        <v>61</v>
      </c>
    </row>
    <row r="19" customFormat="false" ht="15" hidden="false" customHeight="false" outlineLevel="0" collapsed="false">
      <c r="A19" s="20" t="s">
        <v>62</v>
      </c>
    </row>
    <row r="20" customFormat="false" ht="15" hidden="false" customHeight="false" outlineLevel="0" collapsed="false">
      <c r="A20" s="19" t="s">
        <v>63</v>
      </c>
    </row>
    <row r="21" customFormat="false" ht="15" hidden="false" customHeight="false" outlineLevel="0" collapsed="false">
      <c r="A21" s="20" t="s">
        <v>64</v>
      </c>
    </row>
    <row r="22" customFormat="false" ht="15" hidden="false" customHeight="false" outlineLevel="0" collapsed="false">
      <c r="A22" s="20" t="s">
        <v>65</v>
      </c>
    </row>
    <row r="23" customFormat="false" ht="15" hidden="false" customHeight="false" outlineLevel="0" collapsed="false">
      <c r="A23" s="19"/>
    </row>
    <row r="24" customFormat="false" ht="15" hidden="false" customHeight="false" outlineLevel="0" collapsed="false">
      <c r="A24" s="20" t="s">
        <v>66</v>
      </c>
    </row>
    <row r="25" customFormat="false" ht="15" hidden="false" customHeight="false" outlineLevel="0" collapsed="false">
      <c r="A25" s="20" t="s">
        <v>67</v>
      </c>
    </row>
    <row r="26" customFormat="false" ht="15" hidden="false" customHeight="false" outlineLevel="0" collapsed="false">
      <c r="A26" s="2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7" min="4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3"/>
  </cols>
  <sheetData>
    <row r="1" customFormat="false" ht="21.6" hidden="false" customHeight="false" outlineLevel="0" collapsed="false">
      <c r="A1" s="21" t="s">
        <v>69</v>
      </c>
    </row>
    <row r="3" customFormat="false" ht="30" hidden="false" customHeight="true" outlineLevel="0" collapsed="false">
      <c r="A3" s="3" t="s">
        <v>3</v>
      </c>
      <c r="B3" s="3" t="s">
        <v>70</v>
      </c>
      <c r="C3" s="3" t="s">
        <v>71</v>
      </c>
      <c r="D3" s="3" t="s">
        <v>72</v>
      </c>
      <c r="E3" s="3" t="s">
        <v>41</v>
      </c>
      <c r="F3" s="3" t="s">
        <v>73</v>
      </c>
      <c r="G3" s="3" t="s">
        <v>9</v>
      </c>
      <c r="H3" s="3" t="s">
        <v>74</v>
      </c>
      <c r="I3" s="3" t="s">
        <v>12</v>
      </c>
      <c r="J3" s="3" t="s">
        <v>75</v>
      </c>
      <c r="K3" s="3" t="s">
        <v>76</v>
      </c>
      <c r="L3" s="3" t="s">
        <v>77</v>
      </c>
    </row>
    <row r="4" customFormat="false" ht="15" hidden="false" customHeight="false" outlineLevel="0" collapsed="false">
      <c r="A4" s="26" t="s">
        <v>78</v>
      </c>
      <c r="B4" s="26" t="s">
        <v>79</v>
      </c>
      <c r="C4" s="26" t="s">
        <v>80</v>
      </c>
      <c r="D4" s="5" t="n">
        <v>1811</v>
      </c>
      <c r="E4" s="6" t="n">
        <v>0.4193</v>
      </c>
      <c r="F4" s="29" t="n">
        <v>12</v>
      </c>
      <c r="G4" s="7" t="n">
        <v>28.6</v>
      </c>
      <c r="H4" s="5" t="n">
        <v>4</v>
      </c>
      <c r="I4" s="9" t="n">
        <f aca="false">IF(D4=0,0,H4/D4)</f>
        <v>0.00220872446162341</v>
      </c>
      <c r="J4" s="5" t="n">
        <v>1</v>
      </c>
      <c r="K4" s="5" t="n">
        <v>0</v>
      </c>
      <c r="L4" s="30" t="s">
        <v>81</v>
      </c>
    </row>
    <row r="5" customFormat="false" ht="15" hidden="false" customHeight="false" outlineLevel="0" collapsed="false">
      <c r="A5" s="26" t="s">
        <v>78</v>
      </c>
      <c r="B5" s="26" t="s">
        <v>82</v>
      </c>
      <c r="C5" s="27" t="s">
        <v>83</v>
      </c>
      <c r="D5" s="5" t="n">
        <v>1655</v>
      </c>
      <c r="E5" s="31" t="n">
        <v>0.6419</v>
      </c>
      <c r="F5" s="29" t="n">
        <v>15</v>
      </c>
      <c r="G5" s="7" t="n">
        <v>23.4</v>
      </c>
      <c r="H5" s="5" t="n">
        <v>4</v>
      </c>
      <c r="I5" s="9" t="n">
        <f aca="false">IF(D5=0,0,H5/D5)</f>
        <v>0.00241691842900302</v>
      </c>
      <c r="J5" s="5" t="n">
        <v>2</v>
      </c>
      <c r="K5" s="5" t="n">
        <v>0</v>
      </c>
      <c r="L5" s="30" t="s">
        <v>81</v>
      </c>
    </row>
    <row r="6" customFormat="false" ht="15" hidden="false" customHeight="false" outlineLevel="0" collapsed="false">
      <c r="A6" s="26" t="s">
        <v>78</v>
      </c>
      <c r="B6" s="26" t="s">
        <v>84</v>
      </c>
      <c r="C6" s="27" t="s">
        <v>85</v>
      </c>
      <c r="D6" s="5" t="n">
        <v>1438</v>
      </c>
      <c r="E6" s="31" t="n">
        <v>0.6644</v>
      </c>
      <c r="F6" s="29" t="n">
        <v>13</v>
      </c>
      <c r="G6" s="7" t="n">
        <v>19.6</v>
      </c>
      <c r="H6" s="5" t="n">
        <v>3</v>
      </c>
      <c r="I6" s="9" t="n">
        <f aca="false">IF(D6=0,0,H6/D6)</f>
        <v>0.00208623087621697</v>
      </c>
      <c r="J6" s="5" t="n">
        <v>0</v>
      </c>
      <c r="K6" s="5" t="n">
        <v>0</v>
      </c>
      <c r="L6" s="30" t="s">
        <v>81</v>
      </c>
    </row>
    <row r="7" customFormat="false" ht="15" hidden="false" customHeight="false" outlineLevel="0" collapsed="false">
      <c r="A7" s="26" t="s">
        <v>78</v>
      </c>
      <c r="B7" s="26" t="s">
        <v>86</v>
      </c>
      <c r="C7" s="27" t="s">
        <v>87</v>
      </c>
      <c r="D7" s="5" t="n">
        <v>1366</v>
      </c>
      <c r="E7" s="6" t="n">
        <v>0.4988</v>
      </c>
      <c r="F7" s="29" t="n">
        <v>11</v>
      </c>
      <c r="G7" s="7" t="n">
        <v>22.1</v>
      </c>
      <c r="H7" s="5" t="n">
        <v>3</v>
      </c>
      <c r="I7" s="9" t="n">
        <f aca="false">IF(D7=0,0,H7/D7)</f>
        <v>0.00219619326500732</v>
      </c>
      <c r="J7" s="5" t="n">
        <v>0</v>
      </c>
      <c r="K7" s="5" t="n">
        <v>1</v>
      </c>
      <c r="L7" s="30" t="s">
        <v>81</v>
      </c>
    </row>
    <row r="8" customFormat="false" ht="15" hidden="false" customHeight="false" outlineLevel="0" collapsed="false">
      <c r="A8" s="26" t="s">
        <v>78</v>
      </c>
      <c r="B8" s="26" t="s">
        <v>88</v>
      </c>
      <c r="C8" s="27" t="s">
        <v>89</v>
      </c>
      <c r="D8" s="5" t="n">
        <v>1353</v>
      </c>
      <c r="E8" s="6" t="n">
        <v>0.5715</v>
      </c>
      <c r="F8" s="29" t="n">
        <v>16</v>
      </c>
      <c r="G8" s="7" t="n">
        <v>28</v>
      </c>
      <c r="H8" s="5" t="n">
        <v>4</v>
      </c>
      <c r="I8" s="9" t="n">
        <f aca="false">IF(D8=0,0,H8/D8)</f>
        <v>0.00295639320029564</v>
      </c>
      <c r="J8" s="5" t="n">
        <v>0</v>
      </c>
      <c r="K8" s="5" t="n">
        <v>0</v>
      </c>
      <c r="L8" s="30" t="s">
        <v>81</v>
      </c>
    </row>
    <row r="9" customFormat="false" ht="15" hidden="false" customHeight="false" outlineLevel="0" collapsed="false">
      <c r="A9" s="26" t="s">
        <v>78</v>
      </c>
      <c r="B9" s="26" t="s">
        <v>90</v>
      </c>
      <c r="C9" s="27" t="s">
        <v>91</v>
      </c>
      <c r="D9" s="5" t="n">
        <v>1350</v>
      </c>
      <c r="E9" s="31" t="n">
        <v>0.7217</v>
      </c>
      <c r="F9" s="29" t="n">
        <v>16</v>
      </c>
      <c r="G9" s="7" t="n">
        <v>22.2</v>
      </c>
      <c r="H9" s="5" t="n">
        <v>1</v>
      </c>
      <c r="I9" s="9" t="n">
        <f aca="false">IF(D9=0,0,H9/D9)</f>
        <v>0.000740740740740741</v>
      </c>
      <c r="J9" s="5" t="n">
        <v>1</v>
      </c>
      <c r="K9" s="5" t="n">
        <v>0</v>
      </c>
      <c r="L9" s="30" t="s">
        <v>81</v>
      </c>
    </row>
    <row r="10" customFormat="false" ht="15" hidden="false" customHeight="false" outlineLevel="0" collapsed="false">
      <c r="A10" s="26" t="s">
        <v>78</v>
      </c>
      <c r="B10" s="26" t="s">
        <v>86</v>
      </c>
      <c r="C10" s="27" t="s">
        <v>92</v>
      </c>
      <c r="D10" s="5" t="n">
        <v>1305</v>
      </c>
      <c r="E10" s="6" t="n">
        <v>0.5116</v>
      </c>
      <c r="F10" s="29" t="n">
        <v>11</v>
      </c>
      <c r="G10" s="7" t="n">
        <v>21.5</v>
      </c>
      <c r="H10" s="5" t="n">
        <v>4</v>
      </c>
      <c r="I10" s="9" t="n">
        <f aca="false">IF(D10=0,0,H10/D10)</f>
        <v>0.00306513409961686</v>
      </c>
      <c r="J10" s="5" t="n">
        <v>0</v>
      </c>
      <c r="K10" s="5" t="n">
        <v>2</v>
      </c>
      <c r="L10" s="30" t="s">
        <v>81</v>
      </c>
    </row>
    <row r="11" customFormat="false" ht="15" hidden="false" customHeight="false" outlineLevel="0" collapsed="false">
      <c r="A11" s="26" t="s">
        <v>78</v>
      </c>
      <c r="B11" s="26" t="s">
        <v>88</v>
      </c>
      <c r="C11" s="27" t="s">
        <v>93</v>
      </c>
      <c r="D11" s="5" t="n">
        <v>1236</v>
      </c>
      <c r="E11" s="31" t="n">
        <v>0.8136</v>
      </c>
      <c r="F11" s="29" t="n">
        <v>21</v>
      </c>
      <c r="G11" s="7" t="n">
        <v>25.8</v>
      </c>
      <c r="H11" s="5" t="n">
        <v>6</v>
      </c>
      <c r="I11" s="9" t="n">
        <f aca="false">IF(D11=0,0,H11/D11)</f>
        <v>0.00485436893203883</v>
      </c>
      <c r="J11" s="5" t="n">
        <v>0</v>
      </c>
      <c r="K11" s="5" t="n">
        <v>0</v>
      </c>
      <c r="L11" s="30" t="s">
        <v>81</v>
      </c>
    </row>
    <row r="12" customFormat="false" ht="15" hidden="false" customHeight="false" outlineLevel="0" collapsed="false">
      <c r="A12" s="26" t="s">
        <v>78</v>
      </c>
      <c r="B12" s="26" t="s">
        <v>82</v>
      </c>
      <c r="C12" s="27" t="s">
        <v>94</v>
      </c>
      <c r="D12" s="5" t="n">
        <v>1190</v>
      </c>
      <c r="E12" s="6" t="n">
        <v>0.5127</v>
      </c>
      <c r="F12" s="29" t="n">
        <v>11</v>
      </c>
      <c r="G12" s="7" t="n">
        <v>21.5</v>
      </c>
      <c r="H12" s="5" t="n">
        <v>0</v>
      </c>
      <c r="I12" s="9" t="n">
        <f aca="false">IF(D12=0,0,H12/D12)</f>
        <v>0</v>
      </c>
      <c r="J12" s="5" t="n">
        <v>0</v>
      </c>
      <c r="K12" s="5" t="n">
        <v>0</v>
      </c>
      <c r="L12" s="30" t="s">
        <v>81</v>
      </c>
    </row>
    <row r="13" customFormat="false" ht="15" hidden="false" customHeight="false" outlineLevel="0" collapsed="false">
      <c r="A13" s="26" t="s">
        <v>78</v>
      </c>
      <c r="B13" s="26" t="s">
        <v>88</v>
      </c>
      <c r="C13" s="27" t="s">
        <v>95</v>
      </c>
      <c r="D13" s="5" t="n">
        <v>1161</v>
      </c>
      <c r="E13" s="31" t="n">
        <v>1.096</v>
      </c>
      <c r="F13" s="29" t="n">
        <v>28</v>
      </c>
      <c r="G13" s="7" t="n">
        <v>25.5</v>
      </c>
      <c r="H13" s="5" t="n">
        <v>3</v>
      </c>
      <c r="I13" s="9" t="n">
        <f aca="false">IF(D13=0,0,H13/D13)</f>
        <v>0.00258397932816538</v>
      </c>
      <c r="J13" s="5" t="n">
        <v>0</v>
      </c>
      <c r="K13" s="5" t="n">
        <v>0</v>
      </c>
      <c r="L13" s="30" t="s">
        <v>81</v>
      </c>
    </row>
    <row r="14" customFormat="false" ht="15" hidden="false" customHeight="false" outlineLevel="0" collapsed="false">
      <c r="A14" s="26" t="s">
        <v>78</v>
      </c>
      <c r="B14" s="26" t="s">
        <v>96</v>
      </c>
      <c r="C14" s="27" t="s">
        <v>97</v>
      </c>
      <c r="D14" s="5" t="n">
        <v>1153</v>
      </c>
      <c r="E14" s="32" t="n">
        <v>0.2663</v>
      </c>
      <c r="F14" s="29" t="n">
        <v>11</v>
      </c>
      <c r="G14" s="7" t="n">
        <v>41.3</v>
      </c>
      <c r="H14" s="5" t="n">
        <v>7</v>
      </c>
      <c r="I14" s="9" t="n">
        <f aca="false">IF(D14=0,0,H14/D14)</f>
        <v>0.00607111882046834</v>
      </c>
      <c r="J14" s="5" t="n">
        <v>0</v>
      </c>
      <c r="K14" s="5" t="n">
        <v>0</v>
      </c>
      <c r="L14" s="30" t="s">
        <v>81</v>
      </c>
    </row>
    <row r="15" customFormat="false" ht="15" hidden="false" customHeight="false" outlineLevel="0" collapsed="false">
      <c r="A15" s="26" t="s">
        <v>78</v>
      </c>
      <c r="B15" s="26" t="s">
        <v>98</v>
      </c>
      <c r="C15" s="27" t="s">
        <v>99</v>
      </c>
      <c r="D15" s="5" t="n">
        <v>1144</v>
      </c>
      <c r="E15" s="6" t="n">
        <v>0.514</v>
      </c>
      <c r="F15" s="29" t="n">
        <v>11</v>
      </c>
      <c r="G15" s="7" t="n">
        <v>21.4</v>
      </c>
      <c r="H15" s="5" t="n">
        <v>2</v>
      </c>
      <c r="I15" s="9" t="n">
        <f aca="false">IF(D15=0,0,H15/D15)</f>
        <v>0.00174825174825175</v>
      </c>
      <c r="J15" s="5" t="n">
        <v>0</v>
      </c>
      <c r="K15" s="5" t="n">
        <v>0</v>
      </c>
      <c r="L15" s="30" t="s">
        <v>81</v>
      </c>
    </row>
    <row r="16" customFormat="false" ht="15" hidden="false" customHeight="false" outlineLevel="0" collapsed="false">
      <c r="A16" s="26" t="s">
        <v>78</v>
      </c>
      <c r="B16" s="26" t="s">
        <v>100</v>
      </c>
      <c r="C16" s="27" t="s">
        <v>101</v>
      </c>
      <c r="D16" s="5" t="n">
        <v>1088</v>
      </c>
      <c r="E16" s="32" t="n">
        <v>0.231</v>
      </c>
      <c r="F16" s="29" t="n">
        <v>12</v>
      </c>
      <c r="G16" s="7" t="n">
        <v>51.9</v>
      </c>
      <c r="H16" s="5" t="n">
        <v>0</v>
      </c>
      <c r="I16" s="9" t="n">
        <f aca="false">IF(D16=0,0,H16/D16)</f>
        <v>0</v>
      </c>
      <c r="J16" s="5" t="n">
        <v>0</v>
      </c>
      <c r="K16" s="5" t="n">
        <v>0</v>
      </c>
      <c r="L16" s="30" t="s">
        <v>81</v>
      </c>
    </row>
    <row r="17" customFormat="false" ht="15" hidden="false" customHeight="false" outlineLevel="0" collapsed="false">
      <c r="A17" s="26" t="s">
        <v>78</v>
      </c>
      <c r="B17" s="26" t="s">
        <v>102</v>
      </c>
      <c r="C17" s="27" t="s">
        <v>103</v>
      </c>
      <c r="D17" s="5" t="n">
        <v>1088</v>
      </c>
      <c r="E17" s="32" t="n">
        <v>0.2712</v>
      </c>
      <c r="F17" s="29" t="n">
        <v>13</v>
      </c>
      <c r="G17" s="7" t="n">
        <v>47.9</v>
      </c>
      <c r="H17" s="5" t="n">
        <v>1</v>
      </c>
      <c r="I17" s="9" t="n">
        <f aca="false">IF(D17=0,0,H17/D17)</f>
        <v>0.000919117647058824</v>
      </c>
      <c r="J17" s="5" t="n">
        <v>0</v>
      </c>
      <c r="K17" s="5" t="n">
        <v>0</v>
      </c>
      <c r="L17" s="30" t="s">
        <v>81</v>
      </c>
    </row>
    <row r="18" customFormat="false" ht="15" hidden="false" customHeight="false" outlineLevel="0" collapsed="false">
      <c r="A18" s="26" t="s">
        <v>78</v>
      </c>
      <c r="B18" s="26" t="s">
        <v>84</v>
      </c>
      <c r="C18" s="27" t="s">
        <v>104</v>
      </c>
      <c r="D18" s="5" t="n">
        <v>1086</v>
      </c>
      <c r="E18" s="31" t="n">
        <v>1.2551</v>
      </c>
      <c r="F18" s="29" t="n">
        <v>28</v>
      </c>
      <c r="G18" s="7" t="n">
        <v>22.3</v>
      </c>
      <c r="H18" s="5" t="n">
        <v>1</v>
      </c>
      <c r="I18" s="9" t="n">
        <f aca="false">IF(D18=0,0,H18/D18)</f>
        <v>0.000920810313075507</v>
      </c>
      <c r="J18" s="5" t="n">
        <v>0</v>
      </c>
      <c r="K18" s="5" t="n">
        <v>0</v>
      </c>
      <c r="L18" s="30" t="s">
        <v>81</v>
      </c>
    </row>
    <row r="19" customFormat="false" ht="15" hidden="false" customHeight="false" outlineLevel="0" collapsed="false">
      <c r="A19" s="26" t="s">
        <v>78</v>
      </c>
      <c r="B19" s="26" t="s">
        <v>105</v>
      </c>
      <c r="C19" s="26" t="s">
        <v>106</v>
      </c>
      <c r="D19" s="5" t="n">
        <v>967</v>
      </c>
      <c r="E19" s="6" t="n">
        <v>0.3263</v>
      </c>
      <c r="F19" s="29" t="n">
        <v>13</v>
      </c>
      <c r="G19" s="7" t="n">
        <v>39.8</v>
      </c>
      <c r="H19" s="5" t="n">
        <v>5</v>
      </c>
      <c r="I19" s="9" t="n">
        <f aca="false">IF(D19=0,0,H19/D19)</f>
        <v>0.00517063081695967</v>
      </c>
      <c r="J19" s="5" t="n">
        <v>0</v>
      </c>
      <c r="K19" s="5" t="n">
        <v>0</v>
      </c>
      <c r="L19" s="30" t="s">
        <v>81</v>
      </c>
    </row>
    <row r="20" customFormat="false" ht="15" hidden="false" customHeight="false" outlineLevel="0" collapsed="false">
      <c r="A20" s="26" t="s">
        <v>78</v>
      </c>
      <c r="B20" s="26" t="s">
        <v>105</v>
      </c>
      <c r="C20" s="27" t="s">
        <v>107</v>
      </c>
      <c r="D20" s="5" t="n">
        <v>967</v>
      </c>
      <c r="E20" s="6" t="n">
        <v>0.3015</v>
      </c>
      <c r="F20" s="29" t="n">
        <v>15</v>
      </c>
      <c r="G20" s="7" t="n">
        <v>49.8</v>
      </c>
      <c r="H20" s="5" t="n">
        <v>5</v>
      </c>
      <c r="I20" s="9" t="n">
        <f aca="false">IF(D20=0,0,H20/D20)</f>
        <v>0.00517063081695967</v>
      </c>
      <c r="J20" s="5" t="n">
        <v>0</v>
      </c>
      <c r="K20" s="5" t="n">
        <v>0</v>
      </c>
      <c r="L20" s="30" t="s">
        <v>81</v>
      </c>
    </row>
    <row r="21" customFormat="false" ht="15" hidden="false" customHeight="false" outlineLevel="0" collapsed="false">
      <c r="A21" s="26" t="s">
        <v>78</v>
      </c>
      <c r="B21" s="26" t="s">
        <v>108</v>
      </c>
      <c r="C21" s="27" t="s">
        <v>109</v>
      </c>
      <c r="D21" s="5" t="n">
        <v>961</v>
      </c>
      <c r="E21" s="6" t="n">
        <v>0.3465</v>
      </c>
      <c r="F21" s="29" t="n">
        <v>13</v>
      </c>
      <c r="G21" s="7" t="n">
        <v>37.5</v>
      </c>
      <c r="H21" s="5" t="n">
        <v>5</v>
      </c>
      <c r="I21" s="9" t="n">
        <f aca="false">IF(D21=0,0,H21/D21)</f>
        <v>0.00520291363163372</v>
      </c>
      <c r="J21" s="5" t="n">
        <v>0</v>
      </c>
      <c r="K21" s="5" t="n">
        <v>0</v>
      </c>
      <c r="L21" s="30" t="s">
        <v>81</v>
      </c>
    </row>
    <row r="22" customFormat="false" ht="15" hidden="false" customHeight="false" outlineLevel="0" collapsed="false">
      <c r="A22" s="26" t="s">
        <v>78</v>
      </c>
      <c r="B22" s="26" t="s">
        <v>110</v>
      </c>
      <c r="C22" s="27" t="s">
        <v>111</v>
      </c>
      <c r="D22" s="5" t="n">
        <v>957</v>
      </c>
      <c r="E22" s="31" t="n">
        <v>1.4519</v>
      </c>
      <c r="F22" s="29" t="n">
        <v>53</v>
      </c>
      <c r="G22" s="7" t="n">
        <v>36.5</v>
      </c>
      <c r="H22" s="5" t="n">
        <v>3</v>
      </c>
      <c r="I22" s="9" t="n">
        <f aca="false">IF(D22=0,0,H22/D22)</f>
        <v>0.00313479623824451</v>
      </c>
      <c r="J22" s="5" t="n">
        <v>0</v>
      </c>
      <c r="K22" s="5" t="n">
        <v>0</v>
      </c>
      <c r="L22" s="30" t="s">
        <v>81</v>
      </c>
    </row>
    <row r="23" customFormat="false" ht="15" hidden="false" customHeight="false" outlineLevel="0" collapsed="false">
      <c r="A23" s="26" t="s">
        <v>78</v>
      </c>
      <c r="B23" s="26" t="s">
        <v>105</v>
      </c>
      <c r="C23" s="27" t="s">
        <v>112</v>
      </c>
      <c r="D23" s="5" t="n">
        <v>950</v>
      </c>
      <c r="E23" s="6" t="n">
        <v>0.3644</v>
      </c>
      <c r="F23" s="29" t="n">
        <v>15</v>
      </c>
      <c r="G23" s="7" t="n">
        <v>41.2</v>
      </c>
      <c r="H23" s="5" t="n">
        <v>3</v>
      </c>
      <c r="I23" s="9" t="n">
        <f aca="false">IF(D23=0,0,H23/D23)</f>
        <v>0.00315789473684211</v>
      </c>
      <c r="J23" s="5" t="n">
        <v>0</v>
      </c>
      <c r="K23" s="5" t="n">
        <v>0</v>
      </c>
      <c r="L23" s="30" t="s">
        <v>81</v>
      </c>
    </row>
    <row r="24" customFormat="false" ht="15" hidden="false" customHeight="false" outlineLevel="0" collapsed="false">
      <c r="A24" s="26" t="s">
        <v>78</v>
      </c>
      <c r="B24" s="26" t="s">
        <v>113</v>
      </c>
      <c r="C24" s="27" t="s">
        <v>114</v>
      </c>
      <c r="D24" s="5" t="n">
        <v>926</v>
      </c>
      <c r="E24" s="6" t="n">
        <v>0.307</v>
      </c>
      <c r="F24" s="29" t="n">
        <v>10</v>
      </c>
      <c r="G24" s="7" t="n">
        <v>32.6</v>
      </c>
      <c r="H24" s="5" t="n">
        <v>4</v>
      </c>
      <c r="I24" s="9" t="n">
        <f aca="false">IF(D24=0,0,H24/D24)</f>
        <v>0.00431965442764579</v>
      </c>
      <c r="J24" s="5" t="n">
        <v>0</v>
      </c>
      <c r="K24" s="5" t="n">
        <v>0</v>
      </c>
      <c r="L24" s="30" t="s">
        <v>81</v>
      </c>
    </row>
    <row r="25" customFormat="false" ht="15" hidden="false" customHeight="false" outlineLevel="0" collapsed="false">
      <c r="A25" s="26" t="s">
        <v>78</v>
      </c>
      <c r="B25" s="26" t="s">
        <v>115</v>
      </c>
      <c r="C25" s="27" t="s">
        <v>116</v>
      </c>
      <c r="D25" s="5" t="n">
        <v>926</v>
      </c>
      <c r="E25" s="6" t="n">
        <v>0.3787</v>
      </c>
      <c r="F25" s="29" t="n">
        <v>15</v>
      </c>
      <c r="G25" s="7" t="n">
        <v>39.6</v>
      </c>
      <c r="H25" s="5" t="n">
        <v>4</v>
      </c>
      <c r="I25" s="9" t="n">
        <f aca="false">IF(D25=0,0,H25/D25)</f>
        <v>0.00431965442764579</v>
      </c>
      <c r="J25" s="5" t="n">
        <v>2</v>
      </c>
      <c r="K25" s="5" t="n">
        <v>1</v>
      </c>
      <c r="L25" s="30" t="s">
        <v>81</v>
      </c>
    </row>
    <row r="26" customFormat="false" ht="15" hidden="false" customHeight="false" outlineLevel="0" collapsed="false">
      <c r="A26" s="26" t="s">
        <v>78</v>
      </c>
      <c r="B26" s="26" t="s">
        <v>113</v>
      </c>
      <c r="C26" s="27" t="s">
        <v>117</v>
      </c>
      <c r="D26" s="5" t="n">
        <v>878</v>
      </c>
      <c r="E26" s="6" t="n">
        <v>0.3578</v>
      </c>
      <c r="F26" s="29" t="n">
        <v>13</v>
      </c>
      <c r="G26" s="7" t="n">
        <v>36.3</v>
      </c>
      <c r="H26" s="5" t="n">
        <v>1</v>
      </c>
      <c r="I26" s="9" t="n">
        <f aca="false">IF(D26=0,0,H26/D26)</f>
        <v>0.00113895216400911</v>
      </c>
      <c r="J26" s="5" t="n">
        <v>0</v>
      </c>
      <c r="K26" s="5" t="n">
        <v>0</v>
      </c>
      <c r="L26" s="30" t="s">
        <v>81</v>
      </c>
    </row>
    <row r="27" customFormat="false" ht="15" hidden="false" customHeight="false" outlineLevel="0" collapsed="false">
      <c r="A27" s="26" t="s">
        <v>78</v>
      </c>
      <c r="B27" s="26" t="s">
        <v>118</v>
      </c>
      <c r="C27" s="27" t="s">
        <v>119</v>
      </c>
      <c r="D27" s="5" t="n">
        <v>855</v>
      </c>
      <c r="E27" s="6" t="n">
        <v>0.3913</v>
      </c>
      <c r="F27" s="29" t="n">
        <v>12</v>
      </c>
      <c r="G27" s="7" t="n">
        <v>30.7</v>
      </c>
      <c r="H27" s="5" t="n">
        <v>2</v>
      </c>
      <c r="I27" s="9" t="n">
        <f aca="false">IF(D27=0,0,H27/D27)</f>
        <v>0.00233918128654971</v>
      </c>
      <c r="J27" s="5" t="n">
        <v>0</v>
      </c>
      <c r="K27" s="5" t="n">
        <v>0</v>
      </c>
      <c r="L27" s="30" t="s">
        <v>81</v>
      </c>
    </row>
    <row r="28" customFormat="false" ht="15" hidden="false" customHeight="false" outlineLevel="0" collapsed="false">
      <c r="A28" s="26" t="s">
        <v>78</v>
      </c>
      <c r="B28" s="26" t="s">
        <v>110</v>
      </c>
      <c r="C28" s="27" t="s">
        <v>120</v>
      </c>
      <c r="D28" s="5" t="n">
        <v>839</v>
      </c>
      <c r="E28" s="6" t="n">
        <v>0.5066</v>
      </c>
      <c r="F28" s="29" t="n">
        <v>13</v>
      </c>
      <c r="G28" s="7" t="n">
        <v>25.7</v>
      </c>
      <c r="H28" s="5" t="n">
        <v>1</v>
      </c>
      <c r="I28" s="9" t="n">
        <f aca="false">IF(D28=0,0,H28/D28)</f>
        <v>0.00119189511323004</v>
      </c>
      <c r="J28" s="5" t="n">
        <v>0</v>
      </c>
      <c r="K28" s="5" t="n">
        <v>0</v>
      </c>
      <c r="L28" s="30" t="s">
        <v>81</v>
      </c>
    </row>
    <row r="29" customFormat="false" ht="15" hidden="false" customHeight="false" outlineLevel="0" collapsed="false">
      <c r="A29" s="26" t="s">
        <v>78</v>
      </c>
      <c r="B29" s="26" t="s">
        <v>121</v>
      </c>
      <c r="C29" s="27" t="s">
        <v>122</v>
      </c>
      <c r="D29" s="5" t="n">
        <v>820</v>
      </c>
      <c r="E29" s="6" t="n">
        <v>0.3193</v>
      </c>
      <c r="F29" s="29" t="n">
        <v>14</v>
      </c>
      <c r="G29" s="7" t="n">
        <v>43.8</v>
      </c>
      <c r="H29" s="5" t="n">
        <v>1</v>
      </c>
      <c r="I29" s="9" t="n">
        <f aca="false">IF(D29=0,0,H29/D29)</f>
        <v>0.00121951219512195</v>
      </c>
      <c r="J29" s="5" t="n">
        <v>0</v>
      </c>
      <c r="K29" s="5" t="n">
        <v>1</v>
      </c>
      <c r="L29" s="30" t="s">
        <v>81</v>
      </c>
    </row>
    <row r="30" customFormat="false" ht="15" hidden="false" customHeight="false" outlineLevel="0" collapsed="false">
      <c r="A30" s="26" t="s">
        <v>78</v>
      </c>
      <c r="B30" s="26" t="s">
        <v>98</v>
      </c>
      <c r="C30" s="27" t="s">
        <v>123</v>
      </c>
      <c r="D30" s="5" t="n">
        <v>702</v>
      </c>
      <c r="E30" s="6" t="n">
        <v>0.5542</v>
      </c>
      <c r="F30" s="29" t="n">
        <v>13</v>
      </c>
      <c r="G30" s="7" t="n">
        <v>23.5</v>
      </c>
      <c r="H30" s="5" t="n">
        <v>1</v>
      </c>
      <c r="I30" s="9" t="n">
        <f aca="false">IF(D30=0,0,H30/D30)</f>
        <v>0.00142450142450142</v>
      </c>
      <c r="J30" s="5" t="n">
        <v>0</v>
      </c>
      <c r="K30" s="5" t="n">
        <v>0</v>
      </c>
      <c r="L30" s="30" t="s">
        <v>81</v>
      </c>
    </row>
    <row r="31" customFormat="false" ht="15" hidden="false" customHeight="false" outlineLevel="0" collapsed="false">
      <c r="A31" s="26" t="s">
        <v>78</v>
      </c>
      <c r="B31" s="26" t="s">
        <v>121</v>
      </c>
      <c r="C31" s="27" t="s">
        <v>124</v>
      </c>
      <c r="D31" s="5" t="n">
        <v>587</v>
      </c>
      <c r="E31" s="32" t="n">
        <v>0.2448</v>
      </c>
      <c r="F31" s="29" t="n">
        <v>12</v>
      </c>
      <c r="G31" s="7" t="n">
        <v>49</v>
      </c>
      <c r="H31" s="5" t="n">
        <v>1</v>
      </c>
      <c r="I31" s="9" t="n">
        <f aca="false">IF(D31=0,0,H31/D31)</f>
        <v>0.00170357751277683</v>
      </c>
      <c r="J31" s="5" t="n">
        <v>0</v>
      </c>
      <c r="K31" s="5" t="n">
        <v>0</v>
      </c>
      <c r="L31" s="30" t="s">
        <v>81</v>
      </c>
    </row>
    <row r="32" customFormat="false" ht="15" hidden="false" customHeight="false" outlineLevel="0" collapsed="false">
      <c r="A32" s="26" t="s">
        <v>78</v>
      </c>
      <c r="B32" s="26" t="s">
        <v>79</v>
      </c>
      <c r="C32" s="27" t="s">
        <v>125</v>
      </c>
      <c r="D32" s="5" t="n">
        <v>249</v>
      </c>
      <c r="E32" s="6" t="n">
        <v>0.3493</v>
      </c>
      <c r="F32" s="29" t="n">
        <v>11</v>
      </c>
      <c r="G32" s="7" t="n">
        <v>31.5</v>
      </c>
      <c r="H32" s="5" t="n">
        <v>0</v>
      </c>
      <c r="I32" s="9" t="n">
        <f aca="false">IF(D32=0,0,H32/D32)</f>
        <v>0</v>
      </c>
      <c r="J32" s="5" t="n">
        <v>0</v>
      </c>
      <c r="K32" s="5" t="n">
        <v>0</v>
      </c>
      <c r="L32" s="30" t="s">
        <v>81</v>
      </c>
    </row>
    <row r="33" customFormat="false" ht="15" hidden="false" customHeight="false" outlineLevel="0" collapsed="false">
      <c r="A33" s="27" t="s">
        <v>21</v>
      </c>
      <c r="B33" s="26" t="s">
        <v>121</v>
      </c>
      <c r="C33" s="27" t="s">
        <v>126</v>
      </c>
      <c r="D33" s="5" t="n">
        <v>5201</v>
      </c>
      <c r="E33" s="6" t="n">
        <v>0.501</v>
      </c>
      <c r="F33" s="29" t="n">
        <v>31</v>
      </c>
      <c r="G33" s="7" t="n">
        <v>61.9</v>
      </c>
      <c r="H33" s="5" t="n">
        <v>10</v>
      </c>
      <c r="I33" s="9" t="n">
        <f aca="false">IF(D33=0,0,H33/D33)</f>
        <v>0.00192270717169775</v>
      </c>
      <c r="J33" s="5" t="n">
        <v>0</v>
      </c>
      <c r="K33" s="5" t="n">
        <v>4</v>
      </c>
      <c r="L33" s="30" t="s">
        <v>81</v>
      </c>
    </row>
    <row r="34" customFormat="false" ht="15" hidden="false" customHeight="false" outlineLevel="0" collapsed="false">
      <c r="A34" s="27" t="s">
        <v>21</v>
      </c>
      <c r="B34" s="26" t="s">
        <v>108</v>
      </c>
      <c r="C34" s="27" t="s">
        <v>127</v>
      </c>
      <c r="D34" s="5" t="n">
        <v>3576</v>
      </c>
      <c r="E34" s="31" t="n">
        <v>0.792</v>
      </c>
      <c r="F34" s="29" t="n">
        <v>41</v>
      </c>
      <c r="G34" s="7" t="n">
        <v>51.8</v>
      </c>
      <c r="H34" s="5" t="n">
        <v>8</v>
      </c>
      <c r="I34" s="9" t="n">
        <f aca="false">IF(D34=0,0,H34/D34)</f>
        <v>0.00223713646532438</v>
      </c>
      <c r="J34" s="5" t="n">
        <v>0</v>
      </c>
      <c r="K34" s="5" t="n">
        <v>6</v>
      </c>
      <c r="L34" s="30" t="s">
        <v>81</v>
      </c>
    </row>
    <row r="35" customFormat="false" ht="15" hidden="false" customHeight="false" outlineLevel="0" collapsed="false">
      <c r="A35" s="27" t="s">
        <v>21</v>
      </c>
      <c r="B35" s="26" t="s">
        <v>110</v>
      </c>
      <c r="C35" s="27" t="s">
        <v>128</v>
      </c>
      <c r="D35" s="5" t="n">
        <v>2096</v>
      </c>
      <c r="E35" s="31" t="n">
        <v>0.9013</v>
      </c>
      <c r="F35" s="29" t="n">
        <v>44</v>
      </c>
      <c r="G35" s="7" t="n">
        <v>48.8</v>
      </c>
      <c r="H35" s="5" t="n">
        <v>21</v>
      </c>
      <c r="I35" s="9" t="n">
        <f aca="false">IF(D35=0,0,H35/D35)</f>
        <v>0.0100190839694656</v>
      </c>
      <c r="J35" s="5" t="n">
        <v>0</v>
      </c>
      <c r="K35" s="5" t="n">
        <v>3</v>
      </c>
      <c r="L35" s="30" t="s">
        <v>81</v>
      </c>
    </row>
    <row r="36" customFormat="false" ht="15" hidden="false" customHeight="false" outlineLevel="0" collapsed="false">
      <c r="A36" s="27" t="s">
        <v>21</v>
      </c>
      <c r="B36" s="26" t="s">
        <v>110</v>
      </c>
      <c r="C36" s="27" t="s">
        <v>129</v>
      </c>
      <c r="D36" s="5" t="n">
        <v>1954</v>
      </c>
      <c r="E36" s="31" t="n">
        <v>0.7382</v>
      </c>
      <c r="F36" s="29" t="n">
        <v>30</v>
      </c>
      <c r="G36" s="7" t="n">
        <v>40.6</v>
      </c>
      <c r="H36" s="5" t="n">
        <v>16</v>
      </c>
      <c r="I36" s="9" t="n">
        <f aca="false">IF(D36=0,0,H36/D36)</f>
        <v>0.00818833162743091</v>
      </c>
      <c r="J36" s="5" t="n">
        <v>0</v>
      </c>
      <c r="K36" s="5" t="n">
        <v>2</v>
      </c>
      <c r="L36" s="30" t="s">
        <v>81</v>
      </c>
    </row>
    <row r="37" customFormat="false" ht="15" hidden="false" customHeight="false" outlineLevel="0" collapsed="false">
      <c r="A37" s="27" t="s">
        <v>21</v>
      </c>
      <c r="B37" s="26" t="s">
        <v>96</v>
      </c>
      <c r="C37" s="27" t="s">
        <v>130</v>
      </c>
      <c r="D37" s="5" t="n">
        <v>1934</v>
      </c>
      <c r="E37" s="31" t="n">
        <v>0.6848</v>
      </c>
      <c r="F37" s="29" t="n">
        <v>44</v>
      </c>
      <c r="G37" s="7" t="n">
        <v>64.3</v>
      </c>
      <c r="H37" s="5" t="n">
        <v>2</v>
      </c>
      <c r="I37" s="9" t="n">
        <f aca="false">IF(D37=0,0,H37/D37)</f>
        <v>0.00103412616339193</v>
      </c>
      <c r="J37" s="5" t="n">
        <v>0</v>
      </c>
      <c r="K37" s="5" t="n">
        <v>0</v>
      </c>
      <c r="L37" s="30" t="s">
        <v>81</v>
      </c>
    </row>
    <row r="38" customFormat="false" ht="15" hidden="false" customHeight="false" outlineLevel="0" collapsed="false">
      <c r="A38" s="27" t="s">
        <v>21</v>
      </c>
      <c r="B38" s="26" t="s">
        <v>118</v>
      </c>
      <c r="C38" s="27" t="s">
        <v>131</v>
      </c>
      <c r="D38" s="5" t="n">
        <v>1665</v>
      </c>
      <c r="E38" s="6" t="n">
        <v>0.5869</v>
      </c>
      <c r="F38" s="29" t="n">
        <v>31</v>
      </c>
      <c r="G38" s="7" t="n">
        <v>52.8</v>
      </c>
      <c r="H38" s="5" t="n">
        <v>3</v>
      </c>
      <c r="I38" s="9" t="n">
        <f aca="false">IF(D38=0,0,H38/D38)</f>
        <v>0.0018018018018018</v>
      </c>
      <c r="J38" s="5" t="n">
        <v>0</v>
      </c>
      <c r="K38" s="5" t="n">
        <v>1</v>
      </c>
      <c r="L38" s="30" t="s">
        <v>81</v>
      </c>
    </row>
    <row r="39" customFormat="false" ht="15" hidden="false" customHeight="false" outlineLevel="0" collapsed="false">
      <c r="A39" s="27" t="s">
        <v>21</v>
      </c>
      <c r="B39" s="26" t="s">
        <v>113</v>
      </c>
      <c r="C39" s="27" t="s">
        <v>132</v>
      </c>
      <c r="D39" s="5" t="n">
        <v>1459</v>
      </c>
      <c r="E39" s="6" t="n">
        <v>0.594</v>
      </c>
      <c r="F39" s="29" t="n">
        <v>30</v>
      </c>
      <c r="G39" s="7" t="n">
        <v>50.5</v>
      </c>
      <c r="H39" s="5" t="n">
        <v>2</v>
      </c>
      <c r="I39" s="9" t="n">
        <f aca="false">IF(D39=0,0,H39/D39)</f>
        <v>0.00137080191912269</v>
      </c>
      <c r="J39" s="5" t="n">
        <v>0</v>
      </c>
      <c r="K39" s="5" t="n">
        <v>1</v>
      </c>
      <c r="L39" s="30" t="s">
        <v>81</v>
      </c>
    </row>
    <row r="40" customFormat="false" ht="15" hidden="false" customHeight="false" outlineLevel="0" collapsed="false">
      <c r="A40" s="27" t="s">
        <v>21</v>
      </c>
      <c r="B40" s="26" t="s">
        <v>102</v>
      </c>
      <c r="C40" s="26" t="s">
        <v>133</v>
      </c>
      <c r="D40" s="5" t="n">
        <v>1389</v>
      </c>
      <c r="E40" s="6" t="n">
        <v>0.4792</v>
      </c>
      <c r="F40" s="29" t="n">
        <v>26</v>
      </c>
      <c r="G40" s="7" t="n">
        <v>54.3</v>
      </c>
      <c r="H40" s="5" t="n">
        <v>9</v>
      </c>
      <c r="I40" s="9" t="n">
        <f aca="false">IF(D40=0,0,H40/D40)</f>
        <v>0.00647948164146868</v>
      </c>
      <c r="J40" s="5" t="n">
        <v>0</v>
      </c>
      <c r="K40" s="5" t="n">
        <v>0</v>
      </c>
      <c r="L40" s="30" t="s">
        <v>81</v>
      </c>
    </row>
    <row r="41" customFormat="false" ht="15" hidden="false" customHeight="false" outlineLevel="0" collapsed="false">
      <c r="A41" s="27" t="s">
        <v>21</v>
      </c>
      <c r="B41" s="26" t="s">
        <v>100</v>
      </c>
      <c r="C41" s="27" t="s">
        <v>134</v>
      </c>
      <c r="D41" s="5" t="n">
        <v>1322</v>
      </c>
      <c r="E41" s="6" t="n">
        <v>0.5362</v>
      </c>
      <c r="F41" s="29" t="n">
        <v>30</v>
      </c>
      <c r="G41" s="7" t="n">
        <v>55.9</v>
      </c>
      <c r="H41" s="5" t="n">
        <v>4</v>
      </c>
      <c r="I41" s="9" t="n">
        <f aca="false">IF(D41=0,0,H41/D41)</f>
        <v>0.00302571860816944</v>
      </c>
      <c r="J41" s="5" t="n">
        <v>0</v>
      </c>
      <c r="K41" s="5" t="n">
        <v>1</v>
      </c>
      <c r="L41" s="30" t="s">
        <v>81</v>
      </c>
    </row>
    <row r="42" customFormat="false" ht="15" hidden="false" customHeight="false" outlineLevel="0" collapsed="false">
      <c r="A42" s="27" t="s">
        <v>21</v>
      </c>
      <c r="B42" s="26" t="s">
        <v>113</v>
      </c>
      <c r="C42" s="26" t="s">
        <v>135</v>
      </c>
      <c r="D42" s="5" t="n">
        <v>1303</v>
      </c>
      <c r="E42" s="31" t="n">
        <v>0.8148</v>
      </c>
      <c r="F42" s="29" t="n">
        <v>39</v>
      </c>
      <c r="G42" s="7" t="n">
        <v>47.9</v>
      </c>
      <c r="H42" s="5" t="n">
        <v>3</v>
      </c>
      <c r="I42" s="9" t="n">
        <f aca="false">IF(D42=0,0,H42/D42)</f>
        <v>0.00230237912509593</v>
      </c>
      <c r="J42" s="5" t="n">
        <v>0</v>
      </c>
      <c r="K42" s="5" t="n">
        <v>1</v>
      </c>
      <c r="L42" s="30" t="s">
        <v>81</v>
      </c>
    </row>
    <row r="43" customFormat="false" ht="15" hidden="false" customHeight="false" outlineLevel="0" collapsed="false">
      <c r="A43" s="27" t="s">
        <v>21</v>
      </c>
      <c r="B43" s="26" t="s">
        <v>105</v>
      </c>
      <c r="C43" s="27" t="s">
        <v>136</v>
      </c>
      <c r="D43" s="5" t="n">
        <v>1266</v>
      </c>
      <c r="E43" s="31" t="n">
        <v>0.7882</v>
      </c>
      <c r="F43" s="29" t="n">
        <v>47</v>
      </c>
      <c r="G43" s="7" t="n">
        <v>59.6</v>
      </c>
      <c r="H43" s="5" t="n">
        <v>6</v>
      </c>
      <c r="I43" s="9" t="n">
        <f aca="false">IF(D43=0,0,H43/D43)</f>
        <v>0.004739336492891</v>
      </c>
      <c r="J43" s="5" t="n">
        <v>1</v>
      </c>
      <c r="K43" s="5" t="n">
        <v>0</v>
      </c>
      <c r="L43" s="30" t="s">
        <v>81</v>
      </c>
    </row>
    <row r="44" customFormat="false" ht="15" hidden="false" customHeight="false" outlineLevel="0" collapsed="false">
      <c r="A44" s="27" t="s">
        <v>21</v>
      </c>
      <c r="B44" s="26" t="s">
        <v>113</v>
      </c>
      <c r="C44" s="27" t="s">
        <v>137</v>
      </c>
      <c r="D44" s="5" t="n">
        <v>1254</v>
      </c>
      <c r="E44" s="6" t="n">
        <v>0.5802</v>
      </c>
      <c r="F44" s="29" t="n">
        <v>29</v>
      </c>
      <c r="G44" s="7" t="n">
        <v>50</v>
      </c>
      <c r="H44" s="5" t="n">
        <v>4</v>
      </c>
      <c r="I44" s="9" t="n">
        <f aca="false">IF(D44=0,0,H44/D44)</f>
        <v>0.00318979266347687</v>
      </c>
      <c r="J44" s="5" t="n">
        <v>0</v>
      </c>
      <c r="K44" s="5" t="n">
        <v>0</v>
      </c>
      <c r="L44" s="30" t="s">
        <v>81</v>
      </c>
    </row>
    <row r="45" customFormat="false" ht="15" hidden="false" customHeight="false" outlineLevel="0" collapsed="false">
      <c r="A45" s="27" t="s">
        <v>21</v>
      </c>
      <c r="B45" s="26" t="s">
        <v>88</v>
      </c>
      <c r="C45" s="27" t="s">
        <v>138</v>
      </c>
      <c r="D45" s="5" t="n">
        <v>1192</v>
      </c>
      <c r="E45" s="32" t="n">
        <v>0</v>
      </c>
      <c r="F45" s="29" t="n">
        <v>36</v>
      </c>
      <c r="G45" s="7"/>
      <c r="H45" s="5" t="n">
        <v>2</v>
      </c>
      <c r="I45" s="9" t="n">
        <f aca="false">IF(D45=0,0,H45/D45)</f>
        <v>0.00167785234899329</v>
      </c>
      <c r="J45" s="5" t="n">
        <v>0</v>
      </c>
      <c r="K45" s="5" t="n">
        <v>1</v>
      </c>
      <c r="L45" s="30" t="s">
        <v>81</v>
      </c>
    </row>
    <row r="46" customFormat="false" ht="15" hidden="false" customHeight="false" outlineLevel="0" collapsed="false">
      <c r="A46" s="27" t="s">
        <v>21</v>
      </c>
      <c r="B46" s="26" t="s">
        <v>86</v>
      </c>
      <c r="C46" s="27" t="s">
        <v>139</v>
      </c>
      <c r="D46" s="5" t="n">
        <v>1121</v>
      </c>
      <c r="E46" s="6" t="n">
        <v>0.4231</v>
      </c>
      <c r="F46" s="29" t="n">
        <v>33</v>
      </c>
      <c r="G46" s="7" t="n">
        <v>78</v>
      </c>
      <c r="H46" s="5" t="n">
        <v>10</v>
      </c>
      <c r="I46" s="9" t="n">
        <f aca="false">IF(D46=0,0,H46/D46)</f>
        <v>0.00892060660124889</v>
      </c>
      <c r="J46" s="5" t="n">
        <v>0</v>
      </c>
      <c r="K46" s="5" t="n">
        <v>2</v>
      </c>
      <c r="L46" s="30" t="s">
        <v>81</v>
      </c>
    </row>
    <row r="47" customFormat="false" ht="15" hidden="false" customHeight="false" outlineLevel="0" collapsed="false">
      <c r="A47" s="27" t="s">
        <v>21</v>
      </c>
      <c r="B47" s="26" t="s">
        <v>115</v>
      </c>
      <c r="C47" s="26" t="s">
        <v>140</v>
      </c>
      <c r="D47" s="5" t="n">
        <v>1061</v>
      </c>
      <c r="E47" s="31" t="n">
        <v>0.6301</v>
      </c>
      <c r="F47" s="29" t="n">
        <v>35</v>
      </c>
      <c r="G47" s="7" t="n">
        <v>55.5</v>
      </c>
      <c r="H47" s="5" t="n">
        <v>5</v>
      </c>
      <c r="I47" s="9" t="n">
        <f aca="false">IF(D47=0,0,H47/D47)</f>
        <v>0.00471253534401508</v>
      </c>
      <c r="J47" s="5" t="n">
        <v>0</v>
      </c>
      <c r="K47" s="5" t="n">
        <v>0</v>
      </c>
      <c r="L47" s="30" t="s">
        <v>81</v>
      </c>
    </row>
    <row r="48" customFormat="false" ht="15" hidden="false" customHeight="false" outlineLevel="0" collapsed="false">
      <c r="A48" s="27" t="s">
        <v>21</v>
      </c>
      <c r="B48" s="26" t="s">
        <v>141</v>
      </c>
      <c r="C48" s="27" t="s">
        <v>142</v>
      </c>
      <c r="D48" s="5" t="n">
        <v>1057</v>
      </c>
      <c r="E48" s="6" t="n">
        <v>0.3903</v>
      </c>
      <c r="F48" s="29" t="n">
        <v>30</v>
      </c>
      <c r="G48" s="7" t="n">
        <v>76.9</v>
      </c>
      <c r="H48" s="5" t="n">
        <v>3</v>
      </c>
      <c r="I48" s="9" t="n">
        <f aca="false">IF(D48=0,0,H48/D48)</f>
        <v>0.00283822138126774</v>
      </c>
      <c r="J48" s="5" t="n">
        <v>0</v>
      </c>
      <c r="K48" s="5" t="n">
        <v>2</v>
      </c>
      <c r="L48" s="30" t="s">
        <v>81</v>
      </c>
    </row>
    <row r="49" customFormat="false" ht="15" hidden="false" customHeight="false" outlineLevel="0" collapsed="false">
      <c r="A49" s="27" t="s">
        <v>21</v>
      </c>
      <c r="B49" s="26" t="s">
        <v>88</v>
      </c>
      <c r="C49" s="27" t="s">
        <v>143</v>
      </c>
      <c r="D49" s="5" t="n">
        <v>1012</v>
      </c>
      <c r="E49" s="6" t="n">
        <v>0.388</v>
      </c>
      <c r="F49" s="29" t="n">
        <v>29</v>
      </c>
      <c r="G49" s="7" t="n">
        <v>74.7</v>
      </c>
      <c r="H49" s="5" t="n">
        <v>2</v>
      </c>
      <c r="I49" s="9" t="n">
        <f aca="false">IF(D49=0,0,H49/D49)</f>
        <v>0.00197628458498024</v>
      </c>
      <c r="J49" s="5" t="n">
        <v>0</v>
      </c>
      <c r="K49" s="5" t="n">
        <v>0</v>
      </c>
      <c r="L49" s="30" t="s">
        <v>81</v>
      </c>
    </row>
    <row r="50" customFormat="false" ht="15" hidden="false" customHeight="false" outlineLevel="0" collapsed="false">
      <c r="A50" s="27" t="s">
        <v>21</v>
      </c>
      <c r="B50" s="26" t="s">
        <v>82</v>
      </c>
      <c r="C50" s="27" t="s">
        <v>144</v>
      </c>
      <c r="D50" s="5" t="n">
        <v>972</v>
      </c>
      <c r="E50" s="6" t="n">
        <v>0.3912</v>
      </c>
      <c r="F50" s="29" t="n">
        <v>34</v>
      </c>
      <c r="G50" s="7" t="n">
        <v>86.9</v>
      </c>
      <c r="H50" s="5" t="n">
        <v>0</v>
      </c>
      <c r="I50" s="9" t="n">
        <f aca="false">IF(D50=0,0,H50/D50)</f>
        <v>0</v>
      </c>
      <c r="J50" s="5" t="n">
        <v>0</v>
      </c>
      <c r="K50" s="5" t="n">
        <v>0</v>
      </c>
      <c r="L50" s="30" t="s">
        <v>81</v>
      </c>
    </row>
    <row r="51" customFormat="false" ht="15" hidden="false" customHeight="false" outlineLevel="0" collapsed="false">
      <c r="A51" s="27" t="s">
        <v>21</v>
      </c>
      <c r="B51" s="26" t="s">
        <v>84</v>
      </c>
      <c r="C51" s="27" t="s">
        <v>145</v>
      </c>
      <c r="D51" s="5" t="n">
        <v>953</v>
      </c>
      <c r="E51" s="6" t="n">
        <v>0.3885</v>
      </c>
      <c r="F51" s="29" t="n">
        <v>33</v>
      </c>
      <c r="G51" s="7" t="n">
        <v>84.9</v>
      </c>
      <c r="H51" s="5" t="n">
        <v>9</v>
      </c>
      <c r="I51" s="9" t="n">
        <f aca="false">IF(D51=0,0,H51/D51)</f>
        <v>0.00944386149003148</v>
      </c>
      <c r="J51" s="5" t="n">
        <v>0</v>
      </c>
      <c r="K51" s="5" t="n">
        <v>1</v>
      </c>
      <c r="L51" s="30" t="s">
        <v>81</v>
      </c>
    </row>
    <row r="52" customFormat="false" ht="15" hidden="false" customHeight="false" outlineLevel="0" collapsed="false">
      <c r="A52" s="27" t="s">
        <v>21</v>
      </c>
      <c r="B52" s="26" t="s">
        <v>146</v>
      </c>
      <c r="C52" s="27" t="s">
        <v>147</v>
      </c>
      <c r="D52" s="5" t="n">
        <v>914</v>
      </c>
      <c r="E52" s="6" t="n">
        <v>0.5013</v>
      </c>
      <c r="F52" s="29" t="n">
        <v>26</v>
      </c>
      <c r="G52" s="7" t="n">
        <v>51.9</v>
      </c>
      <c r="H52" s="5" t="n">
        <v>3</v>
      </c>
      <c r="I52" s="9" t="n">
        <f aca="false">IF(D52=0,0,H52/D52)</f>
        <v>0.00328227571115974</v>
      </c>
      <c r="J52" s="5" t="n">
        <v>0</v>
      </c>
      <c r="K52" s="5" t="n">
        <v>0</v>
      </c>
      <c r="L52" s="30" t="s">
        <v>81</v>
      </c>
    </row>
    <row r="53" customFormat="false" ht="15" hidden="false" customHeight="false" outlineLevel="0" collapsed="false">
      <c r="A53" s="27" t="s">
        <v>14</v>
      </c>
      <c r="B53" s="26" t="s">
        <v>86</v>
      </c>
      <c r="C53" s="27" t="s">
        <v>148</v>
      </c>
      <c r="D53" s="5" t="n">
        <v>1103</v>
      </c>
      <c r="E53" s="6" t="n">
        <v>0.3544</v>
      </c>
      <c r="F53" s="29" t="n">
        <v>9</v>
      </c>
      <c r="G53" s="7" t="n">
        <v>25.4</v>
      </c>
      <c r="H53" s="5" t="n">
        <v>3</v>
      </c>
      <c r="I53" s="9" t="n">
        <f aca="false">IF(D53=0,0,H53/D53)</f>
        <v>0.00271985494106981</v>
      </c>
      <c r="J53" s="5" t="n">
        <v>0</v>
      </c>
      <c r="K53" s="5" t="n">
        <v>0</v>
      </c>
      <c r="L53" s="30" t="s">
        <v>81</v>
      </c>
    </row>
    <row r="54" customFormat="false" ht="15" hidden="false" customHeight="false" outlineLevel="0" collapsed="false">
      <c r="A54" s="27" t="s">
        <v>14</v>
      </c>
      <c r="B54" s="26" t="s">
        <v>100</v>
      </c>
      <c r="C54" s="26" t="s">
        <v>149</v>
      </c>
      <c r="D54" s="5" t="n">
        <v>1076</v>
      </c>
      <c r="E54" s="6" t="n">
        <v>0.3522</v>
      </c>
      <c r="F54" s="29" t="n">
        <v>17</v>
      </c>
      <c r="G54" s="7" t="n">
        <v>48.3</v>
      </c>
      <c r="H54" s="5" t="n">
        <v>10</v>
      </c>
      <c r="I54" s="9" t="n">
        <f aca="false">IF(D54=0,0,H54/D54)</f>
        <v>0.00929368029739777</v>
      </c>
      <c r="J54" s="5" t="n">
        <v>0</v>
      </c>
      <c r="K54" s="5" t="n">
        <v>1</v>
      </c>
      <c r="L54" s="33" t="s">
        <v>150</v>
      </c>
    </row>
    <row r="55" customFormat="false" ht="15" hidden="false" customHeight="false" outlineLevel="0" collapsed="false">
      <c r="A55" s="27" t="s">
        <v>14</v>
      </c>
      <c r="B55" s="26" t="s">
        <v>98</v>
      </c>
      <c r="C55" s="27" t="s">
        <v>151</v>
      </c>
      <c r="D55" s="5" t="n">
        <v>1071</v>
      </c>
      <c r="E55" s="6" t="n">
        <v>0.5303</v>
      </c>
      <c r="F55" s="29" t="n">
        <v>16</v>
      </c>
      <c r="G55" s="7" t="n">
        <v>30.2</v>
      </c>
      <c r="H55" s="5" t="n">
        <v>3</v>
      </c>
      <c r="I55" s="9" t="n">
        <f aca="false">IF(D55=0,0,H55/D55)</f>
        <v>0.00280112044817927</v>
      </c>
      <c r="J55" s="5" t="n">
        <v>0</v>
      </c>
      <c r="K55" s="5" t="n">
        <v>1</v>
      </c>
      <c r="L55" s="30" t="s">
        <v>81</v>
      </c>
    </row>
    <row r="56" customFormat="false" ht="15" hidden="false" customHeight="false" outlineLevel="0" collapsed="false">
      <c r="A56" s="27" t="s">
        <v>14</v>
      </c>
      <c r="B56" s="26" t="s">
        <v>141</v>
      </c>
      <c r="C56" s="27" t="s">
        <v>152</v>
      </c>
      <c r="D56" s="5" t="n">
        <v>1065</v>
      </c>
      <c r="E56" s="6" t="n">
        <v>0.5587</v>
      </c>
      <c r="F56" s="29" t="n">
        <v>15</v>
      </c>
      <c r="G56" s="7" t="n">
        <v>26.8</v>
      </c>
      <c r="H56" s="5" t="n">
        <v>4</v>
      </c>
      <c r="I56" s="9" t="n">
        <f aca="false">IF(D56=0,0,H56/D56)</f>
        <v>0.00375586854460094</v>
      </c>
      <c r="J56" s="5" t="n">
        <v>0</v>
      </c>
      <c r="K56" s="5" t="n">
        <v>1</v>
      </c>
      <c r="L56" s="30" t="s">
        <v>81</v>
      </c>
    </row>
    <row r="57" customFormat="false" ht="15" hidden="false" customHeight="false" outlineLevel="0" collapsed="false">
      <c r="A57" s="27" t="s">
        <v>14</v>
      </c>
      <c r="B57" s="26" t="s">
        <v>102</v>
      </c>
      <c r="C57" s="26" t="s">
        <v>153</v>
      </c>
      <c r="D57" s="5" t="n">
        <v>1042</v>
      </c>
      <c r="E57" s="32" t="n">
        <v>0.2557</v>
      </c>
      <c r="F57" s="29" t="n">
        <v>14</v>
      </c>
      <c r="G57" s="7" t="n">
        <v>54.8</v>
      </c>
      <c r="H57" s="5" t="n">
        <v>6</v>
      </c>
      <c r="I57" s="9" t="n">
        <f aca="false">IF(D57=0,0,H57/D57)</f>
        <v>0.00575815738963532</v>
      </c>
      <c r="J57" s="5" t="n">
        <v>0</v>
      </c>
      <c r="K57" s="5" t="n">
        <v>0</v>
      </c>
      <c r="L57" s="33" t="s">
        <v>150</v>
      </c>
    </row>
    <row r="58" customFormat="false" ht="15" hidden="false" customHeight="false" outlineLevel="0" collapsed="false">
      <c r="A58" s="27" t="s">
        <v>14</v>
      </c>
      <c r="B58" s="26" t="s">
        <v>79</v>
      </c>
      <c r="C58" s="27" t="s">
        <v>154</v>
      </c>
      <c r="D58" s="5" t="n">
        <v>1039</v>
      </c>
      <c r="E58" s="32" t="n">
        <v>0.2984</v>
      </c>
      <c r="F58" s="29" t="n">
        <v>11</v>
      </c>
      <c r="G58" s="7" t="n">
        <v>36.9</v>
      </c>
      <c r="H58" s="5" t="n">
        <v>3</v>
      </c>
      <c r="I58" s="9" t="n">
        <f aca="false">IF(D58=0,0,H58/D58)</f>
        <v>0.00288739172281039</v>
      </c>
      <c r="J58" s="5" t="n">
        <v>0</v>
      </c>
      <c r="K58" s="5" t="n">
        <v>0</v>
      </c>
      <c r="L58" s="30" t="s">
        <v>81</v>
      </c>
    </row>
    <row r="59" customFormat="false" ht="15" hidden="false" customHeight="false" outlineLevel="0" collapsed="false">
      <c r="A59" s="27" t="s">
        <v>14</v>
      </c>
      <c r="B59" s="26" t="s">
        <v>155</v>
      </c>
      <c r="C59" s="27" t="s">
        <v>156</v>
      </c>
      <c r="D59" s="5" t="n">
        <v>1036</v>
      </c>
      <c r="E59" s="6" t="n">
        <v>0.4433</v>
      </c>
      <c r="F59" s="29" t="n">
        <v>16</v>
      </c>
      <c r="G59" s="7" t="n">
        <v>36.1</v>
      </c>
      <c r="H59" s="5" t="n">
        <v>4</v>
      </c>
      <c r="I59" s="9" t="n">
        <f aca="false">IF(D59=0,0,H59/D59)</f>
        <v>0.00386100386100386</v>
      </c>
      <c r="J59" s="5" t="n">
        <v>0</v>
      </c>
      <c r="K59" s="5" t="n">
        <v>0</v>
      </c>
      <c r="L59" s="30" t="s">
        <v>81</v>
      </c>
    </row>
    <row r="60" customFormat="false" ht="15" hidden="false" customHeight="false" outlineLevel="0" collapsed="false">
      <c r="A60" s="27" t="s">
        <v>14</v>
      </c>
      <c r="B60" s="26" t="s">
        <v>121</v>
      </c>
      <c r="C60" s="26" t="s">
        <v>157</v>
      </c>
      <c r="D60" s="5" t="n">
        <v>1007</v>
      </c>
      <c r="E60" s="6" t="n">
        <v>0.3536</v>
      </c>
      <c r="F60" s="29" t="n">
        <v>17</v>
      </c>
      <c r="G60" s="7" t="n">
        <v>48.1</v>
      </c>
      <c r="H60" s="5" t="n">
        <v>8</v>
      </c>
      <c r="I60" s="9" t="n">
        <f aca="false">IF(D60=0,0,H60/D60)</f>
        <v>0.00794438927507448</v>
      </c>
      <c r="J60" s="5" t="n">
        <v>0</v>
      </c>
      <c r="K60" s="5" t="n">
        <v>1</v>
      </c>
      <c r="L60" s="33" t="s">
        <v>150</v>
      </c>
    </row>
    <row r="61" customFormat="false" ht="15" hidden="false" customHeight="false" outlineLevel="0" collapsed="false">
      <c r="A61" s="27" t="s">
        <v>14</v>
      </c>
      <c r="B61" s="26" t="s">
        <v>105</v>
      </c>
      <c r="C61" s="26" t="s">
        <v>158</v>
      </c>
      <c r="D61" s="5" t="n">
        <v>955</v>
      </c>
      <c r="E61" s="6" t="n">
        <v>0.3005</v>
      </c>
      <c r="F61" s="29" t="n">
        <v>17</v>
      </c>
      <c r="G61" s="7" t="n">
        <v>56.6</v>
      </c>
      <c r="H61" s="5" t="n">
        <v>7</v>
      </c>
      <c r="I61" s="9" t="n">
        <f aca="false">IF(D61=0,0,H61/D61)</f>
        <v>0.00732984293193717</v>
      </c>
      <c r="J61" s="5" t="n">
        <v>0</v>
      </c>
      <c r="K61" s="5" t="n">
        <v>0</v>
      </c>
      <c r="L61" s="33" t="s">
        <v>150</v>
      </c>
    </row>
    <row r="62" customFormat="false" ht="15" hidden="false" customHeight="false" outlineLevel="0" collapsed="false">
      <c r="A62" s="27" t="s">
        <v>14</v>
      </c>
      <c r="B62" s="26" t="s">
        <v>108</v>
      </c>
      <c r="C62" s="26" t="s">
        <v>159</v>
      </c>
      <c r="D62" s="5" t="n">
        <v>944</v>
      </c>
      <c r="E62" s="6" t="n">
        <v>0.4171</v>
      </c>
      <c r="F62" s="29" t="n">
        <v>16</v>
      </c>
      <c r="G62" s="7" t="n">
        <v>38.4</v>
      </c>
      <c r="H62" s="5" t="n">
        <v>7</v>
      </c>
      <c r="I62" s="9" t="n">
        <f aca="false">IF(D62=0,0,H62/D62)</f>
        <v>0.00741525423728814</v>
      </c>
      <c r="J62" s="5" t="n">
        <v>0</v>
      </c>
      <c r="K62" s="5" t="n">
        <v>0</v>
      </c>
      <c r="L62" s="33" t="s">
        <v>150</v>
      </c>
    </row>
    <row r="63" customFormat="false" ht="15" hidden="false" customHeight="false" outlineLevel="0" collapsed="false">
      <c r="A63" s="27" t="s">
        <v>14</v>
      </c>
      <c r="B63" s="26" t="s">
        <v>113</v>
      </c>
      <c r="C63" s="26" t="s">
        <v>160</v>
      </c>
      <c r="D63" s="5" t="n">
        <v>913</v>
      </c>
      <c r="E63" s="6" t="n">
        <v>0.3021</v>
      </c>
      <c r="F63" s="29" t="n">
        <v>12</v>
      </c>
      <c r="G63" s="7" t="n">
        <v>39.7</v>
      </c>
      <c r="H63" s="5" t="n">
        <v>1</v>
      </c>
      <c r="I63" s="9" t="n">
        <f aca="false">IF(D63=0,0,H63/D63)</f>
        <v>0.00109529025191676</v>
      </c>
      <c r="J63" s="5" t="n">
        <v>1</v>
      </c>
      <c r="K63" s="5" t="n">
        <v>0</v>
      </c>
      <c r="L63" s="33" t="s">
        <v>150</v>
      </c>
    </row>
    <row r="64" customFormat="false" ht="15" hidden="false" customHeight="false" outlineLevel="0" collapsed="false">
      <c r="A64" s="27" t="s">
        <v>14</v>
      </c>
      <c r="B64" s="26" t="s">
        <v>110</v>
      </c>
      <c r="C64" s="26" t="s">
        <v>161</v>
      </c>
      <c r="D64" s="5" t="n">
        <v>901</v>
      </c>
      <c r="E64" s="6" t="n">
        <v>0.534</v>
      </c>
      <c r="F64" s="29" t="n">
        <v>15</v>
      </c>
      <c r="G64" s="7" t="n">
        <v>28.1</v>
      </c>
      <c r="H64" s="5" t="n">
        <v>6</v>
      </c>
      <c r="I64" s="9" t="n">
        <f aca="false">IF(D64=0,0,H64/D64)</f>
        <v>0.00665926748057714</v>
      </c>
      <c r="J64" s="5" t="n">
        <v>0</v>
      </c>
      <c r="K64" s="5" t="n">
        <v>1</v>
      </c>
      <c r="L64" s="30" t="s">
        <v>81</v>
      </c>
    </row>
    <row r="65" customFormat="false" ht="15" hidden="false" customHeight="false" outlineLevel="0" collapsed="false">
      <c r="A65" s="27" t="s">
        <v>14</v>
      </c>
      <c r="B65" s="26" t="s">
        <v>115</v>
      </c>
      <c r="C65" s="26" t="s">
        <v>162</v>
      </c>
      <c r="D65" s="5" t="n">
        <v>890</v>
      </c>
      <c r="E65" s="31" t="n">
        <v>0.7062</v>
      </c>
      <c r="F65" s="29" t="n">
        <v>28</v>
      </c>
      <c r="G65" s="7" t="n">
        <v>39.6</v>
      </c>
      <c r="H65" s="5" t="n">
        <v>4</v>
      </c>
      <c r="I65" s="9" t="n">
        <f aca="false">IF(D65=0,0,H65/D65)</f>
        <v>0.00449438202247191</v>
      </c>
      <c r="J65" s="5" t="n">
        <v>0</v>
      </c>
      <c r="K65" s="5" t="n">
        <v>0</v>
      </c>
      <c r="L65" s="33" t="s">
        <v>150</v>
      </c>
    </row>
    <row r="66" customFormat="false" ht="15" hidden="false" customHeight="false" outlineLevel="0" collapsed="false">
      <c r="A66" s="27" t="s">
        <v>14</v>
      </c>
      <c r="B66" s="26" t="s">
        <v>118</v>
      </c>
      <c r="C66" s="26" t="s">
        <v>163</v>
      </c>
      <c r="D66" s="5" t="n">
        <v>863</v>
      </c>
      <c r="E66" s="6" t="n">
        <v>0.3169</v>
      </c>
      <c r="F66" s="29" t="n">
        <v>15</v>
      </c>
      <c r="G66" s="7" t="n">
        <v>47.3</v>
      </c>
      <c r="H66" s="5" t="n">
        <v>7</v>
      </c>
      <c r="I66" s="9" t="n">
        <f aca="false">IF(D66=0,0,H66/D66)</f>
        <v>0.00811123986095017</v>
      </c>
      <c r="J66" s="5" t="n">
        <v>0</v>
      </c>
      <c r="K66" s="5" t="n">
        <v>1</v>
      </c>
      <c r="L66" s="33" t="s">
        <v>150</v>
      </c>
    </row>
    <row r="67" customFormat="false" ht="15" hidden="false" customHeight="false" outlineLevel="0" collapsed="false">
      <c r="A67" s="27" t="s">
        <v>14</v>
      </c>
      <c r="B67" s="26" t="s">
        <v>164</v>
      </c>
      <c r="C67" s="27" t="s">
        <v>165</v>
      </c>
      <c r="D67" s="5" t="n">
        <v>857</v>
      </c>
      <c r="E67" s="6" t="n">
        <v>0.4779</v>
      </c>
      <c r="F67" s="29" t="n">
        <v>14</v>
      </c>
      <c r="G67" s="7" t="n">
        <v>29.3</v>
      </c>
      <c r="H67" s="5" t="n">
        <v>4</v>
      </c>
      <c r="I67" s="9" t="n">
        <f aca="false">IF(D67=0,0,H67/D67)</f>
        <v>0.00466744457409568</v>
      </c>
      <c r="J67" s="5" t="n">
        <v>0</v>
      </c>
      <c r="K67" s="5" t="n">
        <v>0</v>
      </c>
      <c r="L67" s="30" t="s">
        <v>81</v>
      </c>
    </row>
    <row r="68" customFormat="false" ht="15" hidden="false" customHeight="false" outlineLevel="0" collapsed="false">
      <c r="A68" s="27" t="s">
        <v>14</v>
      </c>
      <c r="B68" s="26" t="s">
        <v>110</v>
      </c>
      <c r="C68" s="26" t="s">
        <v>166</v>
      </c>
      <c r="D68" s="5" t="n">
        <v>847</v>
      </c>
      <c r="E68" s="6" t="n">
        <v>0.5957</v>
      </c>
      <c r="F68" s="29" t="n">
        <v>23</v>
      </c>
      <c r="G68" s="7" t="n">
        <v>38.6</v>
      </c>
      <c r="H68" s="5" t="n">
        <v>7</v>
      </c>
      <c r="I68" s="9" t="n">
        <f aca="false">IF(D68=0,0,H68/D68)</f>
        <v>0.00826446280991736</v>
      </c>
      <c r="J68" s="5" t="n">
        <v>0</v>
      </c>
      <c r="K68" s="5" t="n">
        <v>1</v>
      </c>
      <c r="L68" s="33" t="s">
        <v>150</v>
      </c>
    </row>
    <row r="69" customFormat="false" ht="15" hidden="false" customHeight="false" outlineLevel="0" collapsed="false">
      <c r="A69" s="27" t="s">
        <v>14</v>
      </c>
      <c r="B69" s="26" t="s">
        <v>113</v>
      </c>
      <c r="C69" s="26" t="s">
        <v>167</v>
      </c>
      <c r="D69" s="5" t="n">
        <v>822</v>
      </c>
      <c r="E69" s="32" t="n">
        <v>0.2991</v>
      </c>
      <c r="F69" s="29" t="n">
        <v>11</v>
      </c>
      <c r="G69" s="7" t="n">
        <v>36.8</v>
      </c>
      <c r="H69" s="5" t="n">
        <v>5</v>
      </c>
      <c r="I69" s="9" t="n">
        <f aca="false">IF(D69=0,0,H69/D69)</f>
        <v>0.00608272506082725</v>
      </c>
      <c r="J69" s="5" t="n">
        <v>0</v>
      </c>
      <c r="K69" s="5" t="n">
        <v>2</v>
      </c>
      <c r="L69" s="33" t="s">
        <v>150</v>
      </c>
    </row>
    <row r="70" customFormat="false" ht="15" hidden="false" customHeight="false" outlineLevel="0" collapsed="false">
      <c r="A70" s="27" t="s">
        <v>14</v>
      </c>
      <c r="B70" s="26" t="s">
        <v>96</v>
      </c>
      <c r="C70" s="26" t="s">
        <v>168</v>
      </c>
      <c r="D70" s="5" t="n">
        <v>815</v>
      </c>
      <c r="E70" s="6" t="n">
        <v>0.3238</v>
      </c>
      <c r="F70" s="29" t="n">
        <v>14</v>
      </c>
      <c r="G70" s="7" t="n">
        <v>43.2</v>
      </c>
      <c r="H70" s="5" t="n">
        <v>6</v>
      </c>
      <c r="I70" s="9" t="n">
        <f aca="false">IF(D70=0,0,H70/D70)</f>
        <v>0.00736196319018405</v>
      </c>
      <c r="J70" s="5" t="n">
        <v>0</v>
      </c>
      <c r="K70" s="5" t="n">
        <v>1</v>
      </c>
      <c r="L70" s="33" t="s">
        <v>150</v>
      </c>
    </row>
    <row r="71" customFormat="false" ht="15" hidden="false" customHeight="false" outlineLevel="0" collapsed="false">
      <c r="A71" s="27" t="s">
        <v>14</v>
      </c>
      <c r="B71" s="26" t="s">
        <v>155</v>
      </c>
      <c r="C71" s="27" t="s">
        <v>169</v>
      </c>
      <c r="D71" s="5" t="n">
        <v>803</v>
      </c>
      <c r="E71" s="6" t="n">
        <v>0.3665</v>
      </c>
      <c r="F71" s="29" t="n">
        <v>12</v>
      </c>
      <c r="G71" s="7" t="n">
        <v>32.7</v>
      </c>
      <c r="H71" s="5" t="n">
        <v>1</v>
      </c>
      <c r="I71" s="9" t="n">
        <f aca="false">IF(D71=0,0,H71/D71)</f>
        <v>0.0012453300124533</v>
      </c>
      <c r="J71" s="5" t="n">
        <v>1</v>
      </c>
      <c r="K71" s="5" t="n">
        <v>0</v>
      </c>
      <c r="L71" s="30" t="s">
        <v>81</v>
      </c>
    </row>
    <row r="72" customFormat="false" ht="15" hidden="false" customHeight="false" outlineLevel="0" collapsed="false">
      <c r="A72" s="27" t="s">
        <v>14</v>
      </c>
      <c r="B72" s="26" t="s">
        <v>155</v>
      </c>
      <c r="C72" s="27" t="s">
        <v>170</v>
      </c>
      <c r="D72" s="5" t="n">
        <v>779</v>
      </c>
      <c r="E72" s="6" t="n">
        <v>0.5353</v>
      </c>
      <c r="F72" s="29" t="n">
        <v>14</v>
      </c>
      <c r="G72" s="7" t="n">
        <v>26.2</v>
      </c>
      <c r="H72" s="5" t="n">
        <v>4</v>
      </c>
      <c r="I72" s="9" t="n">
        <f aca="false">IF(D72=0,0,H72/D72)</f>
        <v>0.00513478818998716</v>
      </c>
      <c r="J72" s="5" t="n">
        <v>0</v>
      </c>
      <c r="K72" s="5" t="n">
        <v>0</v>
      </c>
      <c r="L72" s="30" t="s">
        <v>81</v>
      </c>
    </row>
    <row r="73" customFormat="false" ht="15" hidden="false" customHeight="false" outlineLevel="0" collapsed="false">
      <c r="A73" s="27" t="s">
        <v>14</v>
      </c>
      <c r="B73" s="26" t="s">
        <v>84</v>
      </c>
      <c r="C73" s="27" t="s">
        <v>171</v>
      </c>
      <c r="D73" s="5" t="n">
        <v>756</v>
      </c>
      <c r="E73" s="6" t="n">
        <v>0.4287</v>
      </c>
      <c r="F73" s="29" t="n">
        <v>13</v>
      </c>
      <c r="G73" s="7" t="n">
        <v>30.3</v>
      </c>
      <c r="H73" s="5" t="n">
        <v>2</v>
      </c>
      <c r="I73" s="9" t="n">
        <f aca="false">IF(D73=0,0,H73/D73)</f>
        <v>0.00264550264550265</v>
      </c>
      <c r="J73" s="5" t="n">
        <v>0</v>
      </c>
      <c r="K73" s="5" t="n">
        <v>0</v>
      </c>
      <c r="L73" s="30" t="s">
        <v>81</v>
      </c>
    </row>
    <row r="74" customFormat="false" ht="15" hidden="false" customHeight="false" outlineLevel="0" collapsed="false">
      <c r="A74" s="27" t="s">
        <v>14</v>
      </c>
      <c r="B74" s="26" t="s">
        <v>88</v>
      </c>
      <c r="C74" s="27" t="s">
        <v>172</v>
      </c>
      <c r="D74" s="5" t="n">
        <v>631</v>
      </c>
      <c r="E74" s="6" t="n">
        <v>0.4345</v>
      </c>
      <c r="F74" s="29" t="n">
        <v>12</v>
      </c>
      <c r="G74" s="7" t="n">
        <v>27.6</v>
      </c>
      <c r="H74" s="5" t="n">
        <v>1</v>
      </c>
      <c r="I74" s="9" t="n">
        <f aca="false">IF(D74=0,0,H74/D74)</f>
        <v>0.00158478605388273</v>
      </c>
      <c r="J74" s="5" t="n">
        <v>0</v>
      </c>
      <c r="K74" s="5" t="n">
        <v>0</v>
      </c>
      <c r="L74" s="30" t="s">
        <v>81</v>
      </c>
    </row>
    <row r="75" customFormat="false" ht="15" hidden="false" customHeight="false" outlineLevel="0" collapsed="false">
      <c r="A75" s="27" t="s">
        <v>14</v>
      </c>
      <c r="B75" s="26" t="s">
        <v>105</v>
      </c>
      <c r="C75" s="26" t="s">
        <v>173</v>
      </c>
      <c r="D75" s="5" t="n">
        <v>481</v>
      </c>
      <c r="E75" s="32" t="n">
        <v>0.2949</v>
      </c>
      <c r="F75" s="29" t="n">
        <v>16</v>
      </c>
      <c r="G75" s="7" t="n">
        <v>54.3</v>
      </c>
      <c r="H75" s="5" t="n">
        <v>1</v>
      </c>
      <c r="I75" s="9" t="n">
        <f aca="false">IF(D75=0,0,H75/D75)</f>
        <v>0.00207900207900208</v>
      </c>
      <c r="J75" s="5" t="n">
        <v>0</v>
      </c>
      <c r="K75" s="5" t="n">
        <v>0</v>
      </c>
      <c r="L75" s="33" t="s">
        <v>150</v>
      </c>
    </row>
    <row r="76" customFormat="false" ht="15" hidden="false" customHeight="false" outlineLevel="0" collapsed="false">
      <c r="A76" s="27" t="s">
        <v>14</v>
      </c>
      <c r="B76" s="26" t="s">
        <v>88</v>
      </c>
      <c r="C76" s="27" t="s">
        <v>174</v>
      </c>
      <c r="D76" s="5" t="n">
        <v>374</v>
      </c>
      <c r="E76" s="6" t="n">
        <v>0.5366</v>
      </c>
      <c r="F76" s="29" t="n">
        <v>15</v>
      </c>
      <c r="G76" s="7" t="n">
        <v>28</v>
      </c>
      <c r="H76" s="5" t="n">
        <v>2</v>
      </c>
      <c r="I76" s="9" t="n">
        <f aca="false">IF(D76=0,0,H76/D76)</f>
        <v>0.0053475935828877</v>
      </c>
      <c r="J76" s="5" t="n">
        <v>0</v>
      </c>
      <c r="K76" s="5" t="n">
        <v>0</v>
      </c>
      <c r="L76" s="30" t="s">
        <v>81</v>
      </c>
    </row>
    <row r="77" customFormat="false" ht="15" hidden="false" customHeight="false" outlineLevel="0" collapsed="false">
      <c r="A77" s="27" t="s">
        <v>14</v>
      </c>
      <c r="B77" s="26" t="s">
        <v>82</v>
      </c>
      <c r="C77" s="27" t="s">
        <v>175</v>
      </c>
      <c r="D77" s="5" t="n">
        <v>216</v>
      </c>
      <c r="E77" s="6" t="n">
        <v>0.5599</v>
      </c>
      <c r="F77" s="29" t="n">
        <v>13</v>
      </c>
      <c r="G77" s="7" t="n">
        <v>23.2</v>
      </c>
      <c r="H77" s="5" t="n">
        <v>0</v>
      </c>
      <c r="I77" s="9" t="n">
        <f aca="false">IF(D77=0,0,H77/D77)</f>
        <v>0</v>
      </c>
      <c r="J77" s="5" t="n">
        <v>0</v>
      </c>
      <c r="K77" s="5" t="n">
        <v>0</v>
      </c>
      <c r="L77" s="30" t="s">
        <v>81</v>
      </c>
    </row>
    <row r="78" customFormat="false" ht="15" hidden="false" customHeight="false" outlineLevel="0" collapsed="false">
      <c r="A78" s="27" t="s">
        <v>19</v>
      </c>
      <c r="B78" s="26" t="s">
        <v>88</v>
      </c>
      <c r="C78" s="27" t="s">
        <v>176</v>
      </c>
      <c r="D78" s="5" t="n">
        <v>1971</v>
      </c>
      <c r="E78" s="31" t="n">
        <v>0.6953</v>
      </c>
      <c r="F78" s="29" t="n">
        <v>19</v>
      </c>
      <c r="G78" s="7" t="n">
        <v>27.3</v>
      </c>
      <c r="H78" s="5" t="n">
        <v>5</v>
      </c>
      <c r="I78" s="9" t="n">
        <f aca="false">IF(D78=0,0,H78/D78)</f>
        <v>0.00253678335870117</v>
      </c>
      <c r="J78" s="5" t="n">
        <v>0</v>
      </c>
      <c r="K78" s="5" t="n">
        <v>0</v>
      </c>
      <c r="L78" s="30" t="s">
        <v>81</v>
      </c>
    </row>
    <row r="79" customFormat="false" ht="15" hidden="false" customHeight="false" outlineLevel="0" collapsed="false">
      <c r="A79" s="27" t="s">
        <v>19</v>
      </c>
      <c r="B79" s="26" t="s">
        <v>141</v>
      </c>
      <c r="C79" s="27" t="s">
        <v>177</v>
      </c>
      <c r="D79" s="5" t="n">
        <v>1789</v>
      </c>
      <c r="E79" s="6" t="n">
        <v>0.5506</v>
      </c>
      <c r="F79" s="29" t="n">
        <v>16</v>
      </c>
      <c r="G79" s="7" t="n">
        <v>29.1</v>
      </c>
      <c r="H79" s="5" t="n">
        <v>7</v>
      </c>
      <c r="I79" s="9" t="n">
        <f aca="false">IF(D79=0,0,H79/D79)</f>
        <v>0.00391280044717719</v>
      </c>
      <c r="J79" s="5" t="n">
        <v>0</v>
      </c>
      <c r="K79" s="5" t="n">
        <v>0</v>
      </c>
      <c r="L79" s="30" t="s">
        <v>81</v>
      </c>
    </row>
    <row r="80" customFormat="false" ht="15" hidden="false" customHeight="false" outlineLevel="0" collapsed="false">
      <c r="A80" s="27" t="s">
        <v>19</v>
      </c>
      <c r="B80" s="26" t="s">
        <v>164</v>
      </c>
      <c r="C80" s="27" t="s">
        <v>178</v>
      </c>
      <c r="D80" s="5" t="n">
        <v>1679</v>
      </c>
      <c r="E80" s="6" t="n">
        <v>0.5704</v>
      </c>
      <c r="F80" s="29" t="n">
        <v>15</v>
      </c>
      <c r="G80" s="7" t="n">
        <v>26.3</v>
      </c>
      <c r="H80" s="5" t="n">
        <v>0</v>
      </c>
      <c r="I80" s="9" t="n">
        <f aca="false">IF(D80=0,0,H80/D80)</f>
        <v>0</v>
      </c>
      <c r="J80" s="5" t="n">
        <v>0</v>
      </c>
      <c r="K80" s="5" t="n">
        <v>0</v>
      </c>
      <c r="L80" s="30" t="s">
        <v>81</v>
      </c>
    </row>
    <row r="81" customFormat="false" ht="15" hidden="false" customHeight="false" outlineLevel="0" collapsed="false">
      <c r="A81" s="27" t="s">
        <v>19</v>
      </c>
      <c r="B81" s="26" t="s">
        <v>98</v>
      </c>
      <c r="C81" s="27" t="s">
        <v>179</v>
      </c>
      <c r="D81" s="5" t="n">
        <v>1632</v>
      </c>
      <c r="E81" s="31" t="n">
        <v>0.7093</v>
      </c>
      <c r="F81" s="29" t="n">
        <v>19</v>
      </c>
      <c r="G81" s="7" t="n">
        <v>26.8</v>
      </c>
      <c r="H81" s="5" t="n">
        <v>5</v>
      </c>
      <c r="I81" s="9" t="n">
        <f aca="false">IF(D81=0,0,H81/D81)</f>
        <v>0.00306372549019608</v>
      </c>
      <c r="J81" s="5" t="n">
        <v>0</v>
      </c>
      <c r="K81" s="5" t="n">
        <v>0</v>
      </c>
      <c r="L81" s="30" t="s">
        <v>81</v>
      </c>
    </row>
    <row r="82" customFormat="false" ht="15" hidden="false" customHeight="false" outlineLevel="0" collapsed="false">
      <c r="A82" s="27" t="s">
        <v>19</v>
      </c>
      <c r="B82" s="26" t="s">
        <v>86</v>
      </c>
      <c r="C82" s="27" t="s">
        <v>180</v>
      </c>
      <c r="D82" s="5" t="n">
        <v>1566</v>
      </c>
      <c r="E82" s="6" t="n">
        <v>0.5452</v>
      </c>
      <c r="F82" s="29" t="n">
        <v>17</v>
      </c>
      <c r="G82" s="7" t="n">
        <v>31.2</v>
      </c>
      <c r="H82" s="5" t="n">
        <v>3</v>
      </c>
      <c r="I82" s="9" t="n">
        <f aca="false">IF(D82=0,0,H82/D82)</f>
        <v>0.00191570881226054</v>
      </c>
      <c r="J82" s="5" t="n">
        <v>0</v>
      </c>
      <c r="K82" s="5" t="n">
        <v>1</v>
      </c>
      <c r="L82" s="30" t="s">
        <v>81</v>
      </c>
    </row>
    <row r="83" customFormat="false" ht="15" hidden="false" customHeight="false" outlineLevel="0" collapsed="false">
      <c r="A83" s="27" t="s">
        <v>19</v>
      </c>
      <c r="B83" s="26" t="s">
        <v>82</v>
      </c>
      <c r="C83" s="27" t="s">
        <v>181</v>
      </c>
      <c r="D83" s="5" t="n">
        <v>1557</v>
      </c>
      <c r="E83" s="31" t="n">
        <v>0.6526</v>
      </c>
      <c r="F83" s="29" t="n">
        <v>20</v>
      </c>
      <c r="G83" s="7" t="n">
        <v>30.6</v>
      </c>
      <c r="H83" s="5" t="n">
        <v>2</v>
      </c>
      <c r="I83" s="9" t="n">
        <f aca="false">IF(D83=0,0,H83/D83)</f>
        <v>0.00128452151573539</v>
      </c>
      <c r="J83" s="5" t="n">
        <v>1</v>
      </c>
      <c r="K83" s="5" t="n">
        <v>0</v>
      </c>
      <c r="L83" s="30" t="s">
        <v>81</v>
      </c>
    </row>
    <row r="84" customFormat="false" ht="15" hidden="false" customHeight="false" outlineLevel="0" collapsed="false">
      <c r="A84" s="27" t="s">
        <v>19</v>
      </c>
      <c r="B84" s="26" t="s">
        <v>84</v>
      </c>
      <c r="C84" s="27" t="s">
        <v>182</v>
      </c>
      <c r="D84" s="5" t="n">
        <v>1339</v>
      </c>
      <c r="E84" s="6" t="n">
        <v>0.4901</v>
      </c>
      <c r="F84" s="29" t="n">
        <v>14</v>
      </c>
      <c r="G84" s="7" t="n">
        <v>28.6</v>
      </c>
      <c r="H84" s="5" t="n">
        <v>4</v>
      </c>
      <c r="I84" s="9" t="n">
        <f aca="false">IF(D84=0,0,H84/D84)</f>
        <v>0.00298730395817775</v>
      </c>
      <c r="J84" s="5" t="n">
        <v>1</v>
      </c>
      <c r="K84" s="5" t="n">
        <v>1</v>
      </c>
      <c r="L84" s="30" t="s">
        <v>81</v>
      </c>
    </row>
    <row r="85" customFormat="false" ht="15" hidden="false" customHeight="false" outlineLevel="0" collapsed="false">
      <c r="A85" s="27" t="s">
        <v>19</v>
      </c>
      <c r="B85" s="26" t="s">
        <v>79</v>
      </c>
      <c r="C85" s="27" t="s">
        <v>183</v>
      </c>
      <c r="D85" s="5" t="n">
        <v>1308</v>
      </c>
      <c r="E85" s="6" t="n">
        <v>0.3913</v>
      </c>
      <c r="F85" s="29" t="n">
        <v>19</v>
      </c>
      <c r="G85" s="7" t="n">
        <v>48.6</v>
      </c>
      <c r="H85" s="5" t="n">
        <v>1</v>
      </c>
      <c r="I85" s="9" t="n">
        <f aca="false">IF(D85=0,0,H85/D85)</f>
        <v>0.000764525993883792</v>
      </c>
      <c r="J85" s="5" t="n">
        <v>2</v>
      </c>
      <c r="K85" s="5" t="n">
        <v>0</v>
      </c>
      <c r="L85" s="30" t="s">
        <v>81</v>
      </c>
    </row>
    <row r="86" customFormat="false" ht="15" hidden="false" customHeight="false" outlineLevel="0" collapsed="false">
      <c r="A86" s="27" t="s">
        <v>19</v>
      </c>
      <c r="B86" s="26" t="s">
        <v>155</v>
      </c>
      <c r="C86" s="27" t="s">
        <v>184</v>
      </c>
      <c r="D86" s="5" t="n">
        <v>1289</v>
      </c>
      <c r="E86" s="6" t="n">
        <v>0.5321</v>
      </c>
      <c r="F86" s="29" t="n">
        <v>17</v>
      </c>
      <c r="G86" s="7" t="n">
        <v>31.9</v>
      </c>
      <c r="H86" s="5" t="n">
        <v>4</v>
      </c>
      <c r="I86" s="9" t="n">
        <f aca="false">IF(D86=0,0,H86/D86)</f>
        <v>0.00310318076027929</v>
      </c>
      <c r="J86" s="5" t="n">
        <v>0</v>
      </c>
      <c r="K86" s="5" t="n">
        <v>0</v>
      </c>
      <c r="L86" s="30" t="s">
        <v>81</v>
      </c>
    </row>
    <row r="87" customFormat="false" ht="15" hidden="false" customHeight="false" outlineLevel="0" collapsed="false">
      <c r="A87" s="27" t="s">
        <v>19</v>
      </c>
      <c r="B87" s="26" t="s">
        <v>121</v>
      </c>
      <c r="C87" s="26" t="s">
        <v>185</v>
      </c>
      <c r="D87" s="5" t="n">
        <v>1072</v>
      </c>
      <c r="E87" s="32" t="n">
        <v>0.2754</v>
      </c>
      <c r="F87" s="29" t="n">
        <v>19</v>
      </c>
      <c r="G87" s="7" t="n">
        <v>69</v>
      </c>
      <c r="H87" s="5" t="n">
        <v>1</v>
      </c>
      <c r="I87" s="9" t="n">
        <f aca="false">IF(D87=0,0,H87/D87)</f>
        <v>0.000932835820895522</v>
      </c>
      <c r="J87" s="5" t="n">
        <v>1</v>
      </c>
      <c r="K87" s="5" t="n">
        <v>0</v>
      </c>
      <c r="L87" s="33" t="s">
        <v>150</v>
      </c>
    </row>
    <row r="88" customFormat="false" ht="15" hidden="false" customHeight="false" outlineLevel="0" collapsed="false">
      <c r="A88" s="27" t="s">
        <v>19</v>
      </c>
      <c r="B88" s="26" t="s">
        <v>105</v>
      </c>
      <c r="C88" s="26" t="s">
        <v>186</v>
      </c>
      <c r="D88" s="5" t="n">
        <v>1051</v>
      </c>
      <c r="E88" s="32" t="n">
        <v>0.267</v>
      </c>
      <c r="F88" s="29" t="n">
        <v>17</v>
      </c>
      <c r="G88" s="7" t="n">
        <v>63.7</v>
      </c>
      <c r="H88" s="5" t="n">
        <v>4</v>
      </c>
      <c r="I88" s="9" t="n">
        <f aca="false">IF(D88=0,0,H88/D88)</f>
        <v>0.00380589914367269</v>
      </c>
      <c r="J88" s="5" t="n">
        <v>0</v>
      </c>
      <c r="K88" s="5" t="n">
        <v>2</v>
      </c>
      <c r="L88" s="33" t="s">
        <v>150</v>
      </c>
    </row>
    <row r="89" customFormat="false" ht="15" hidden="false" customHeight="false" outlineLevel="0" collapsed="false">
      <c r="A89" s="27" t="s">
        <v>19</v>
      </c>
      <c r="B89" s="26" t="s">
        <v>105</v>
      </c>
      <c r="C89" s="26" t="s">
        <v>187</v>
      </c>
      <c r="D89" s="5" t="n">
        <v>1017</v>
      </c>
      <c r="E89" s="32" t="n">
        <v>0</v>
      </c>
      <c r="F89" s="29" t="n">
        <v>14</v>
      </c>
      <c r="G89" s="7"/>
      <c r="H89" s="5" t="n">
        <v>3</v>
      </c>
      <c r="I89" s="9" t="n">
        <f aca="false">IF(D89=0,0,H89/D89)</f>
        <v>0.00294985250737463</v>
      </c>
      <c r="J89" s="5" t="n">
        <v>0</v>
      </c>
      <c r="K89" s="5" t="n">
        <v>0</v>
      </c>
      <c r="L89" s="33" t="s">
        <v>150</v>
      </c>
    </row>
    <row r="90" customFormat="false" ht="15" hidden="false" customHeight="false" outlineLevel="0" collapsed="false">
      <c r="A90" s="27" t="s">
        <v>19</v>
      </c>
      <c r="B90" s="26" t="s">
        <v>96</v>
      </c>
      <c r="C90" s="26" t="s">
        <v>188</v>
      </c>
      <c r="D90" s="5" t="n">
        <v>977</v>
      </c>
      <c r="E90" s="32" t="n">
        <v>0.2252</v>
      </c>
      <c r="F90" s="29" t="n">
        <v>16</v>
      </c>
      <c r="G90" s="7" t="n">
        <v>71</v>
      </c>
      <c r="H90" s="5" t="n">
        <v>1</v>
      </c>
      <c r="I90" s="9" t="n">
        <f aca="false">IF(D90=0,0,H90/D90)</f>
        <v>0.00102354145342886</v>
      </c>
      <c r="J90" s="5" t="n">
        <v>0</v>
      </c>
      <c r="K90" s="5" t="n">
        <v>1</v>
      </c>
      <c r="L90" s="33" t="s">
        <v>150</v>
      </c>
    </row>
    <row r="91" customFormat="false" ht="15" hidden="false" customHeight="false" outlineLevel="0" collapsed="false">
      <c r="A91" s="27" t="s">
        <v>19</v>
      </c>
      <c r="B91" s="26" t="s">
        <v>115</v>
      </c>
      <c r="C91" s="26" t="s">
        <v>189</v>
      </c>
      <c r="D91" s="5" t="n">
        <v>974</v>
      </c>
      <c r="E91" s="6" t="n">
        <v>0.3928</v>
      </c>
      <c r="F91" s="29" t="n">
        <v>18</v>
      </c>
      <c r="G91" s="7" t="n">
        <v>45.8</v>
      </c>
      <c r="H91" s="5" t="n">
        <v>3</v>
      </c>
      <c r="I91" s="9" t="n">
        <f aca="false">IF(D91=0,0,H91/D91)</f>
        <v>0.00308008213552361</v>
      </c>
      <c r="J91" s="5" t="n">
        <v>0</v>
      </c>
      <c r="K91" s="5" t="n">
        <v>0</v>
      </c>
      <c r="L91" s="33" t="s">
        <v>150</v>
      </c>
    </row>
    <row r="92" customFormat="false" ht="15" hidden="false" customHeight="false" outlineLevel="0" collapsed="false">
      <c r="A92" s="27" t="s">
        <v>19</v>
      </c>
      <c r="B92" s="26" t="s">
        <v>110</v>
      </c>
      <c r="C92" s="26" t="s">
        <v>190</v>
      </c>
      <c r="D92" s="5" t="n">
        <v>947</v>
      </c>
      <c r="E92" s="32" t="n">
        <v>0</v>
      </c>
      <c r="F92" s="29" t="n">
        <v>13</v>
      </c>
      <c r="G92" s="7"/>
      <c r="H92" s="5" t="n">
        <v>2</v>
      </c>
      <c r="I92" s="9" t="n">
        <f aca="false">IF(D92=0,0,H92/D92)</f>
        <v>0.00211193241816262</v>
      </c>
      <c r="J92" s="5" t="n">
        <v>0</v>
      </c>
      <c r="K92" s="5" t="n">
        <v>1</v>
      </c>
      <c r="L92" s="30" t="s">
        <v>81</v>
      </c>
    </row>
    <row r="93" customFormat="false" ht="15" hidden="false" customHeight="false" outlineLevel="0" collapsed="false">
      <c r="A93" s="27" t="s">
        <v>19</v>
      </c>
      <c r="B93" s="26" t="s">
        <v>113</v>
      </c>
      <c r="C93" s="26" t="s">
        <v>191</v>
      </c>
      <c r="D93" s="5" t="n">
        <v>934</v>
      </c>
      <c r="E93" s="6" t="n">
        <v>0.3939</v>
      </c>
      <c r="F93" s="29" t="n">
        <v>18</v>
      </c>
      <c r="G93" s="7" t="n">
        <v>45.7</v>
      </c>
      <c r="H93" s="5" t="n">
        <v>3</v>
      </c>
      <c r="I93" s="9" t="n">
        <f aca="false">IF(D93=0,0,H93/D93)</f>
        <v>0.00321199143468951</v>
      </c>
      <c r="J93" s="5" t="n">
        <v>0</v>
      </c>
      <c r="K93" s="5" t="n">
        <v>0</v>
      </c>
      <c r="L93" s="33" t="s">
        <v>150</v>
      </c>
    </row>
    <row r="94" customFormat="false" ht="15" hidden="false" customHeight="false" outlineLevel="0" collapsed="false">
      <c r="A94" s="27" t="s">
        <v>19</v>
      </c>
      <c r="B94" s="26" t="s">
        <v>108</v>
      </c>
      <c r="C94" s="26" t="s">
        <v>192</v>
      </c>
      <c r="D94" s="5" t="n">
        <v>921</v>
      </c>
      <c r="E94" s="32" t="n">
        <v>0.25</v>
      </c>
      <c r="F94" s="29" t="n">
        <v>14</v>
      </c>
      <c r="G94" s="7" t="n">
        <v>56</v>
      </c>
      <c r="H94" s="5" t="n">
        <v>1</v>
      </c>
      <c r="I94" s="9" t="n">
        <f aca="false">IF(D94=0,0,H94/D94)</f>
        <v>0.001085776330076</v>
      </c>
      <c r="J94" s="5" t="n">
        <v>0</v>
      </c>
      <c r="K94" s="5" t="n">
        <v>0</v>
      </c>
      <c r="L94" s="33" t="s">
        <v>150</v>
      </c>
    </row>
    <row r="95" customFormat="false" ht="15" hidden="false" customHeight="false" outlineLevel="0" collapsed="false">
      <c r="A95" s="27" t="s">
        <v>19</v>
      </c>
      <c r="B95" s="26" t="s">
        <v>110</v>
      </c>
      <c r="C95" s="26" t="s">
        <v>193</v>
      </c>
      <c r="D95" s="5" t="n">
        <v>866</v>
      </c>
      <c r="E95" s="6" t="n">
        <v>0.4186</v>
      </c>
      <c r="F95" s="29" t="n">
        <v>16</v>
      </c>
      <c r="G95" s="7" t="n">
        <v>38.2</v>
      </c>
      <c r="H95" s="5" t="n">
        <v>3</v>
      </c>
      <c r="I95" s="9" t="n">
        <f aca="false">IF(D95=0,0,H95/D95)</f>
        <v>0.00346420323325635</v>
      </c>
      <c r="J95" s="5" t="n">
        <v>0</v>
      </c>
      <c r="K95" s="5" t="n">
        <v>0</v>
      </c>
      <c r="L95" s="33" t="s">
        <v>150</v>
      </c>
    </row>
    <row r="96" customFormat="false" ht="15" hidden="false" customHeight="false" outlineLevel="0" collapsed="false">
      <c r="A96" s="27" t="s">
        <v>19</v>
      </c>
      <c r="B96" s="26" t="s">
        <v>118</v>
      </c>
      <c r="C96" s="26" t="s">
        <v>194</v>
      </c>
      <c r="D96" s="5" t="n">
        <v>841</v>
      </c>
      <c r="E96" s="6" t="n">
        <v>0.3511</v>
      </c>
      <c r="F96" s="29" t="n">
        <v>18</v>
      </c>
      <c r="G96" s="7" t="n">
        <v>51.3</v>
      </c>
      <c r="H96" s="5" t="n">
        <v>3</v>
      </c>
      <c r="I96" s="9" t="n">
        <f aca="false">IF(D96=0,0,H96/D96)</f>
        <v>0.00356718192627824</v>
      </c>
      <c r="J96" s="5" t="n">
        <v>0</v>
      </c>
      <c r="K96" s="5" t="n">
        <v>0</v>
      </c>
      <c r="L96" s="33" t="s">
        <v>150</v>
      </c>
    </row>
    <row r="97" customFormat="false" ht="15" hidden="false" customHeight="false" outlineLevel="0" collapsed="false">
      <c r="A97" s="27" t="s">
        <v>19</v>
      </c>
      <c r="B97" s="26" t="s">
        <v>102</v>
      </c>
      <c r="C97" s="26" t="s">
        <v>195</v>
      </c>
      <c r="D97" s="5" t="n">
        <v>711</v>
      </c>
      <c r="E97" s="32" t="n">
        <v>0.2558</v>
      </c>
      <c r="F97" s="29" t="n">
        <v>17</v>
      </c>
      <c r="G97" s="7" t="n">
        <v>66.5</v>
      </c>
      <c r="H97" s="5" t="n">
        <v>0</v>
      </c>
      <c r="I97" s="9" t="n">
        <f aca="false">IF(D97=0,0,H97/D97)</f>
        <v>0</v>
      </c>
      <c r="J97" s="5" t="n">
        <v>0</v>
      </c>
      <c r="K97" s="5" t="n">
        <v>0</v>
      </c>
      <c r="L97" s="33" t="s">
        <v>150</v>
      </c>
    </row>
    <row r="98" customFormat="false" ht="15" hidden="false" customHeight="false" outlineLevel="0" collapsed="false">
      <c r="A98" s="27" t="s">
        <v>19</v>
      </c>
      <c r="B98" s="26" t="s">
        <v>113</v>
      </c>
      <c r="C98" s="26" t="s">
        <v>196</v>
      </c>
      <c r="D98" s="5" t="n">
        <v>165</v>
      </c>
      <c r="E98" s="32" t="n">
        <v>0.2162</v>
      </c>
      <c r="F98" s="29" t="n">
        <v>9</v>
      </c>
      <c r="G98" s="7" t="n">
        <v>41.6</v>
      </c>
      <c r="H98" s="5" t="n">
        <v>0</v>
      </c>
      <c r="I98" s="9" t="n">
        <f aca="false">IF(D98=0,0,H98/D98)</f>
        <v>0</v>
      </c>
      <c r="J98" s="5" t="n">
        <v>0</v>
      </c>
      <c r="K98" s="5" t="n">
        <v>0</v>
      </c>
      <c r="L98" s="33" t="s">
        <v>150</v>
      </c>
    </row>
    <row r="99" customFormat="false" ht="15" hidden="false" customHeight="false" outlineLevel="0" collapsed="false">
      <c r="A99" s="26" t="s">
        <v>197</v>
      </c>
      <c r="B99" s="26" t="s">
        <v>82</v>
      </c>
      <c r="C99" s="26" t="s">
        <v>198</v>
      </c>
      <c r="D99" s="5" t="n">
        <v>1132</v>
      </c>
      <c r="E99" s="6" t="n">
        <v>0.5293</v>
      </c>
      <c r="F99" s="29" t="n">
        <v>14</v>
      </c>
      <c r="G99" s="7" t="n">
        <v>26.5</v>
      </c>
      <c r="H99" s="5" t="n">
        <v>3</v>
      </c>
      <c r="I99" s="9" t="n">
        <f aca="false">IF(D99=0,0,H99/D99)</f>
        <v>0.00265017667844523</v>
      </c>
      <c r="J99" s="5" t="n">
        <v>0</v>
      </c>
      <c r="K99" s="5" t="n">
        <v>0</v>
      </c>
      <c r="L99" s="30" t="s">
        <v>81</v>
      </c>
    </row>
    <row r="100" customFormat="false" ht="15" hidden="false" customHeight="false" outlineLevel="0" collapsed="false">
      <c r="A100" s="26" t="s">
        <v>197</v>
      </c>
      <c r="B100" s="26" t="s">
        <v>84</v>
      </c>
      <c r="C100" s="26" t="s">
        <v>199</v>
      </c>
      <c r="D100" s="5" t="n">
        <v>1072</v>
      </c>
      <c r="E100" s="31" t="n">
        <v>0.8657</v>
      </c>
      <c r="F100" s="29" t="n">
        <v>25</v>
      </c>
      <c r="G100" s="7" t="n">
        <v>28.9</v>
      </c>
      <c r="H100" s="5" t="n">
        <v>0</v>
      </c>
      <c r="I100" s="9" t="n">
        <f aca="false">IF(D100=0,0,H100/D100)</f>
        <v>0</v>
      </c>
      <c r="J100" s="5" t="n">
        <v>0</v>
      </c>
      <c r="K100" s="5" t="n">
        <v>0</v>
      </c>
      <c r="L100" s="30" t="s">
        <v>81</v>
      </c>
    </row>
    <row r="101" customFormat="false" ht="15" hidden="false" customHeight="false" outlineLevel="0" collapsed="false">
      <c r="A101" s="26" t="s">
        <v>197</v>
      </c>
      <c r="B101" s="26" t="s">
        <v>164</v>
      </c>
      <c r="C101" s="26" t="s">
        <v>200</v>
      </c>
      <c r="D101" s="5" t="n">
        <v>1062</v>
      </c>
      <c r="E101" s="6" t="n">
        <v>0.4588</v>
      </c>
      <c r="F101" s="29" t="n">
        <v>13</v>
      </c>
      <c r="G101" s="7" t="n">
        <v>28.3</v>
      </c>
      <c r="H101" s="5" t="n">
        <v>5</v>
      </c>
      <c r="I101" s="9" t="n">
        <f aca="false">IF(D101=0,0,H101/D101)</f>
        <v>0.00470809792843691</v>
      </c>
      <c r="J101" s="5" t="n">
        <v>1</v>
      </c>
      <c r="K101" s="5" t="n">
        <v>2</v>
      </c>
      <c r="L101" s="30" t="s">
        <v>81</v>
      </c>
    </row>
    <row r="102" customFormat="false" ht="15" hidden="false" customHeight="false" outlineLevel="0" collapsed="false">
      <c r="A102" s="26" t="s">
        <v>197</v>
      </c>
      <c r="B102" s="26" t="s">
        <v>100</v>
      </c>
      <c r="C102" s="27" t="s">
        <v>201</v>
      </c>
      <c r="D102" s="5" t="n">
        <v>1033</v>
      </c>
      <c r="E102" s="32" t="n">
        <v>0.238</v>
      </c>
      <c r="F102" s="29" t="n">
        <v>12</v>
      </c>
      <c r="G102" s="7" t="n">
        <v>50.4</v>
      </c>
      <c r="H102" s="5" t="n">
        <v>2</v>
      </c>
      <c r="I102" s="9" t="n">
        <f aca="false">IF(D102=0,0,H102/D102)</f>
        <v>0.00193610842207164</v>
      </c>
      <c r="J102" s="5" t="n">
        <v>0</v>
      </c>
      <c r="K102" s="5" t="n">
        <v>1</v>
      </c>
      <c r="L102" s="33" t="s">
        <v>150</v>
      </c>
    </row>
    <row r="103" customFormat="false" ht="15" hidden="false" customHeight="false" outlineLevel="0" collapsed="false">
      <c r="A103" s="26" t="s">
        <v>197</v>
      </c>
      <c r="B103" s="26" t="s">
        <v>96</v>
      </c>
      <c r="C103" s="27" t="s">
        <v>202</v>
      </c>
      <c r="D103" s="5" t="n">
        <v>1007</v>
      </c>
      <c r="E103" s="32" t="n">
        <v>0.2471</v>
      </c>
      <c r="F103" s="29" t="n">
        <v>12</v>
      </c>
      <c r="G103" s="7" t="n">
        <v>48.6</v>
      </c>
      <c r="H103" s="5" t="n">
        <v>3</v>
      </c>
      <c r="I103" s="9" t="n">
        <f aca="false">IF(D103=0,0,H103/D103)</f>
        <v>0.00297914597815293</v>
      </c>
      <c r="J103" s="5" t="n">
        <v>0</v>
      </c>
      <c r="K103" s="5" t="n">
        <v>0</v>
      </c>
      <c r="L103" s="33" t="s">
        <v>150</v>
      </c>
    </row>
    <row r="104" customFormat="false" ht="15" hidden="false" customHeight="false" outlineLevel="0" collapsed="false">
      <c r="A104" s="26" t="s">
        <v>197</v>
      </c>
      <c r="B104" s="26" t="s">
        <v>108</v>
      </c>
      <c r="C104" s="27" t="s">
        <v>203</v>
      </c>
      <c r="D104" s="5" t="n">
        <v>1002</v>
      </c>
      <c r="E104" s="32" t="n">
        <v>0.249</v>
      </c>
      <c r="F104" s="29" t="n">
        <v>11</v>
      </c>
      <c r="G104" s="7" t="n">
        <v>44.2</v>
      </c>
      <c r="H104" s="5" t="n">
        <v>7</v>
      </c>
      <c r="I104" s="9" t="n">
        <f aca="false">IF(D104=0,0,H104/D104)</f>
        <v>0.00698602794411178</v>
      </c>
      <c r="J104" s="5" t="n">
        <v>0</v>
      </c>
      <c r="K104" s="5" t="n">
        <v>0</v>
      </c>
      <c r="L104" s="33" t="s">
        <v>150</v>
      </c>
    </row>
    <row r="105" customFormat="false" ht="15" hidden="false" customHeight="false" outlineLevel="0" collapsed="false">
      <c r="A105" s="26" t="s">
        <v>197</v>
      </c>
      <c r="B105" s="26" t="s">
        <v>110</v>
      </c>
      <c r="C105" s="27" t="s">
        <v>204</v>
      </c>
      <c r="D105" s="5" t="n">
        <v>982</v>
      </c>
      <c r="E105" s="31" t="n">
        <v>0.6405</v>
      </c>
      <c r="F105" s="29" t="n">
        <v>17</v>
      </c>
      <c r="G105" s="7" t="n">
        <v>26.5</v>
      </c>
      <c r="H105" s="5" t="n">
        <v>5</v>
      </c>
      <c r="I105" s="9" t="n">
        <f aca="false">IF(D105=0,0,H105/D105)</f>
        <v>0.00509164969450102</v>
      </c>
      <c r="J105" s="5" t="n">
        <v>0</v>
      </c>
      <c r="K105" s="5" t="n">
        <v>1</v>
      </c>
      <c r="L105" s="30" t="s">
        <v>81</v>
      </c>
    </row>
    <row r="106" customFormat="false" ht="15" hidden="false" customHeight="false" outlineLevel="0" collapsed="false">
      <c r="A106" s="26" t="s">
        <v>197</v>
      </c>
      <c r="B106" s="26" t="s">
        <v>108</v>
      </c>
      <c r="C106" s="27" t="s">
        <v>205</v>
      </c>
      <c r="D106" s="5" t="n">
        <v>969</v>
      </c>
      <c r="E106" s="6" t="n">
        <v>0.3326</v>
      </c>
      <c r="F106" s="29" t="n">
        <v>13</v>
      </c>
      <c r="G106" s="7" t="n">
        <v>39.1</v>
      </c>
      <c r="H106" s="5" t="n">
        <v>6</v>
      </c>
      <c r="I106" s="9" t="n">
        <f aca="false">IF(D106=0,0,H106/D106)</f>
        <v>0.00619195046439629</v>
      </c>
      <c r="J106" s="5" t="n">
        <v>0</v>
      </c>
      <c r="K106" s="5" t="n">
        <v>2</v>
      </c>
      <c r="L106" s="30" t="s">
        <v>81</v>
      </c>
    </row>
    <row r="107" customFormat="false" ht="15" hidden="false" customHeight="false" outlineLevel="0" collapsed="false">
      <c r="A107" s="26" t="s">
        <v>197</v>
      </c>
      <c r="B107" s="26" t="s">
        <v>86</v>
      </c>
      <c r="C107" s="26" t="s">
        <v>206</v>
      </c>
      <c r="D107" s="5" t="n">
        <v>967</v>
      </c>
      <c r="E107" s="6" t="n">
        <v>0.4613</v>
      </c>
      <c r="F107" s="29" t="n">
        <v>14</v>
      </c>
      <c r="G107" s="7" t="n">
        <v>30.3</v>
      </c>
      <c r="H107" s="5" t="n">
        <v>3</v>
      </c>
      <c r="I107" s="9" t="n">
        <f aca="false">IF(D107=0,0,H107/D107)</f>
        <v>0.0031023784901758</v>
      </c>
      <c r="J107" s="5" t="n">
        <v>0</v>
      </c>
      <c r="K107" s="5" t="n">
        <v>0</v>
      </c>
      <c r="L107" s="30" t="s">
        <v>81</v>
      </c>
    </row>
    <row r="108" customFormat="false" ht="15" hidden="false" customHeight="false" outlineLevel="0" collapsed="false">
      <c r="A108" s="26" t="s">
        <v>197</v>
      </c>
      <c r="B108" s="26" t="s">
        <v>105</v>
      </c>
      <c r="C108" s="27" t="s">
        <v>207</v>
      </c>
      <c r="D108" s="5" t="n">
        <v>955</v>
      </c>
      <c r="E108" s="32" t="n">
        <v>0.2681</v>
      </c>
      <c r="F108" s="29" t="n">
        <v>16</v>
      </c>
      <c r="G108" s="7" t="n">
        <v>59.7</v>
      </c>
      <c r="H108" s="5" t="n">
        <v>5</v>
      </c>
      <c r="I108" s="9" t="n">
        <f aca="false">IF(D108=0,0,H108/D108)</f>
        <v>0.00523560209424084</v>
      </c>
      <c r="J108" s="5" t="n">
        <v>0</v>
      </c>
      <c r="K108" s="5" t="n">
        <v>0</v>
      </c>
      <c r="L108" s="33" t="s">
        <v>150</v>
      </c>
    </row>
    <row r="109" customFormat="false" ht="15" hidden="false" customHeight="false" outlineLevel="0" collapsed="false">
      <c r="A109" s="26" t="s">
        <v>197</v>
      </c>
      <c r="B109" s="26" t="s">
        <v>113</v>
      </c>
      <c r="C109" s="27" t="s">
        <v>208</v>
      </c>
      <c r="D109" s="5" t="n">
        <v>947</v>
      </c>
      <c r="E109" s="32" t="n">
        <v>0</v>
      </c>
      <c r="F109" s="29" t="n">
        <v>10</v>
      </c>
      <c r="G109" s="7"/>
      <c r="H109" s="5" t="n">
        <v>3</v>
      </c>
      <c r="I109" s="9" t="n">
        <f aca="false">IF(D109=0,0,H109/D109)</f>
        <v>0.00316789862724393</v>
      </c>
      <c r="J109" s="5" t="n">
        <v>0</v>
      </c>
      <c r="K109" s="5" t="n">
        <v>0</v>
      </c>
      <c r="L109" s="33" t="s">
        <v>150</v>
      </c>
    </row>
    <row r="110" customFormat="false" ht="15" hidden="false" customHeight="false" outlineLevel="0" collapsed="false">
      <c r="A110" s="26" t="s">
        <v>197</v>
      </c>
      <c r="B110" s="26" t="s">
        <v>118</v>
      </c>
      <c r="C110" s="27" t="s">
        <v>209</v>
      </c>
      <c r="D110" s="5" t="n">
        <v>940</v>
      </c>
      <c r="E110" s="6" t="n">
        <v>0.3279</v>
      </c>
      <c r="F110" s="29" t="n">
        <v>13</v>
      </c>
      <c r="G110" s="7" t="n">
        <v>39.6</v>
      </c>
      <c r="H110" s="5" t="n">
        <v>0</v>
      </c>
      <c r="I110" s="9" t="n">
        <f aca="false">IF(D110=0,0,H110/D110)</f>
        <v>0</v>
      </c>
      <c r="J110" s="5" t="n">
        <v>0</v>
      </c>
      <c r="K110" s="5" t="n">
        <v>0</v>
      </c>
      <c r="L110" s="30" t="s">
        <v>81</v>
      </c>
    </row>
    <row r="111" customFormat="false" ht="15" hidden="false" customHeight="false" outlineLevel="0" collapsed="false">
      <c r="A111" s="26" t="s">
        <v>197</v>
      </c>
      <c r="B111" s="26" t="s">
        <v>110</v>
      </c>
      <c r="C111" s="27" t="s">
        <v>210</v>
      </c>
      <c r="D111" s="5" t="n">
        <v>934</v>
      </c>
      <c r="E111" s="32" t="n">
        <v>0.2918</v>
      </c>
      <c r="F111" s="29" t="n">
        <v>13</v>
      </c>
      <c r="G111" s="7" t="n">
        <v>44.6</v>
      </c>
      <c r="H111" s="5" t="n">
        <v>4</v>
      </c>
      <c r="I111" s="9" t="n">
        <f aca="false">IF(D111=0,0,H111/D111)</f>
        <v>0.00428265524625268</v>
      </c>
      <c r="J111" s="5" t="n">
        <v>0</v>
      </c>
      <c r="K111" s="5" t="n">
        <v>1</v>
      </c>
      <c r="L111" s="30" t="s">
        <v>81</v>
      </c>
    </row>
    <row r="112" customFormat="false" ht="15" hidden="false" customHeight="false" outlineLevel="0" collapsed="false">
      <c r="A112" s="26" t="s">
        <v>197</v>
      </c>
      <c r="B112" s="26" t="s">
        <v>113</v>
      </c>
      <c r="C112" s="27" t="s">
        <v>211</v>
      </c>
      <c r="D112" s="5" t="n">
        <v>916</v>
      </c>
      <c r="E112" s="6" t="n">
        <v>0.3195</v>
      </c>
      <c r="F112" s="29" t="n">
        <v>14</v>
      </c>
      <c r="G112" s="7" t="n">
        <v>43.8</v>
      </c>
      <c r="H112" s="5" t="n">
        <v>3</v>
      </c>
      <c r="I112" s="9" t="n">
        <f aca="false">IF(D112=0,0,H112/D112)</f>
        <v>0.00327510917030568</v>
      </c>
      <c r="J112" s="5" t="n">
        <v>0</v>
      </c>
      <c r="K112" s="5" t="n">
        <v>1</v>
      </c>
      <c r="L112" s="33" t="s">
        <v>150</v>
      </c>
    </row>
    <row r="113" customFormat="false" ht="15" hidden="false" customHeight="false" outlineLevel="0" collapsed="false">
      <c r="A113" s="26" t="s">
        <v>197</v>
      </c>
      <c r="B113" s="26" t="s">
        <v>98</v>
      </c>
      <c r="C113" s="26" t="s">
        <v>212</v>
      </c>
      <c r="D113" s="5" t="n">
        <v>913</v>
      </c>
      <c r="E113" s="6" t="n">
        <v>0.4937</v>
      </c>
      <c r="F113" s="29" t="n">
        <v>17</v>
      </c>
      <c r="G113" s="7" t="n">
        <v>34.4</v>
      </c>
      <c r="H113" s="5" t="n">
        <v>6</v>
      </c>
      <c r="I113" s="9" t="n">
        <f aca="false">IF(D113=0,0,H113/D113)</f>
        <v>0.00657174151150055</v>
      </c>
      <c r="J113" s="5" t="n">
        <v>0</v>
      </c>
      <c r="K113" s="5" t="n">
        <v>1</v>
      </c>
      <c r="L113" s="30" t="s">
        <v>81</v>
      </c>
    </row>
    <row r="114" customFormat="false" ht="15" hidden="false" customHeight="false" outlineLevel="0" collapsed="false">
      <c r="A114" s="26" t="s">
        <v>197</v>
      </c>
      <c r="B114" s="26" t="s">
        <v>115</v>
      </c>
      <c r="C114" s="27" t="s">
        <v>213</v>
      </c>
      <c r="D114" s="5" t="n">
        <v>899</v>
      </c>
      <c r="E114" s="32" t="n">
        <v>0.2303</v>
      </c>
      <c r="F114" s="29" t="n">
        <v>11</v>
      </c>
      <c r="G114" s="7" t="n">
        <v>47.8</v>
      </c>
      <c r="H114" s="5" t="n">
        <v>2</v>
      </c>
      <c r="I114" s="9" t="n">
        <f aca="false">IF(D114=0,0,H114/D114)</f>
        <v>0.00222469410456062</v>
      </c>
      <c r="J114" s="5" t="n">
        <v>0</v>
      </c>
      <c r="K114" s="5" t="n">
        <v>1</v>
      </c>
      <c r="L114" s="33" t="s">
        <v>150</v>
      </c>
    </row>
    <row r="115" customFormat="false" ht="15" hidden="false" customHeight="false" outlineLevel="0" collapsed="false">
      <c r="A115" s="26" t="s">
        <v>197</v>
      </c>
      <c r="B115" s="26" t="s">
        <v>88</v>
      </c>
      <c r="C115" s="26" t="s">
        <v>214</v>
      </c>
      <c r="D115" s="5" t="n">
        <v>877</v>
      </c>
      <c r="E115" s="6" t="n">
        <v>0.518</v>
      </c>
      <c r="F115" s="29" t="n">
        <v>15</v>
      </c>
      <c r="G115" s="7" t="n">
        <v>29</v>
      </c>
      <c r="H115" s="5" t="n">
        <v>9</v>
      </c>
      <c r="I115" s="9" t="n">
        <f aca="false">IF(D115=0,0,H115/D115)</f>
        <v>0.0102622576966933</v>
      </c>
      <c r="J115" s="5" t="n">
        <v>0</v>
      </c>
      <c r="K115" s="5" t="n">
        <v>0</v>
      </c>
      <c r="L115" s="30" t="s">
        <v>81</v>
      </c>
    </row>
    <row r="116" customFormat="false" ht="15" hidden="false" customHeight="false" outlineLevel="0" collapsed="false">
      <c r="A116" s="26" t="s">
        <v>197</v>
      </c>
      <c r="B116" s="26" t="s">
        <v>155</v>
      </c>
      <c r="C116" s="27" t="s">
        <v>215</v>
      </c>
      <c r="D116" s="5" t="n">
        <v>781</v>
      </c>
      <c r="E116" s="6" t="n">
        <v>0.5369</v>
      </c>
      <c r="F116" s="29" t="n">
        <v>18</v>
      </c>
      <c r="G116" s="7" t="n">
        <v>33.5</v>
      </c>
      <c r="H116" s="5" t="n">
        <v>3</v>
      </c>
      <c r="I116" s="9" t="n">
        <f aca="false">IF(D116=0,0,H116/D116)</f>
        <v>0.00384122919334187</v>
      </c>
      <c r="J116" s="5" t="n">
        <v>0</v>
      </c>
      <c r="K116" s="5" t="n">
        <v>0</v>
      </c>
      <c r="L116" s="30" t="s">
        <v>81</v>
      </c>
    </row>
    <row r="117" customFormat="false" ht="15" hidden="false" customHeight="false" outlineLevel="0" collapsed="false">
      <c r="A117" s="26" t="s">
        <v>197</v>
      </c>
      <c r="B117" s="26" t="s">
        <v>141</v>
      </c>
      <c r="C117" s="26" t="s">
        <v>216</v>
      </c>
      <c r="D117" s="5" t="n">
        <v>779</v>
      </c>
      <c r="E117" s="6" t="n">
        <v>0.472</v>
      </c>
      <c r="F117" s="29" t="n">
        <v>14</v>
      </c>
      <c r="G117" s="7" t="n">
        <v>29.7</v>
      </c>
      <c r="H117" s="5" t="n">
        <v>2</v>
      </c>
      <c r="I117" s="9" t="n">
        <f aca="false">IF(D117=0,0,H117/D117)</f>
        <v>0.00256739409499358</v>
      </c>
      <c r="J117" s="5" t="n">
        <v>0</v>
      </c>
      <c r="K117" s="5" t="n">
        <v>1</v>
      </c>
      <c r="L117" s="30" t="s">
        <v>81</v>
      </c>
    </row>
    <row r="118" customFormat="false" ht="15" hidden="false" customHeight="false" outlineLevel="0" collapsed="false">
      <c r="A118" s="26" t="s">
        <v>197</v>
      </c>
      <c r="B118" s="26" t="s">
        <v>79</v>
      </c>
      <c r="C118" s="27" t="s">
        <v>217</v>
      </c>
      <c r="D118" s="5" t="n">
        <v>642</v>
      </c>
      <c r="E118" s="6" t="n">
        <v>0.501</v>
      </c>
      <c r="F118" s="29" t="n">
        <v>20</v>
      </c>
      <c r="G118" s="7" t="n">
        <v>39.9</v>
      </c>
      <c r="H118" s="5" t="n">
        <v>4</v>
      </c>
      <c r="I118" s="9" t="n">
        <f aca="false">IF(D118=0,0,H118/D118)</f>
        <v>0.00623052959501558</v>
      </c>
      <c r="J118" s="5" t="n">
        <v>0</v>
      </c>
      <c r="K118" s="5" t="n">
        <v>1</v>
      </c>
      <c r="L118" s="30" t="s">
        <v>81</v>
      </c>
    </row>
    <row r="119" customFormat="false" ht="15" hidden="false" customHeight="false" outlineLevel="0" collapsed="false">
      <c r="A119" s="26" t="s">
        <v>197</v>
      </c>
      <c r="B119" s="26" t="s">
        <v>102</v>
      </c>
      <c r="C119" s="27" t="s">
        <v>218</v>
      </c>
      <c r="D119" s="5" t="n">
        <v>396</v>
      </c>
      <c r="E119" s="32" t="n">
        <v>0.262</v>
      </c>
      <c r="F119" s="29" t="n">
        <v>14</v>
      </c>
      <c r="G119" s="7" t="n">
        <v>53.4</v>
      </c>
      <c r="H119" s="5" t="n">
        <v>3</v>
      </c>
      <c r="I119" s="9" t="n">
        <f aca="false">IF(D119=0,0,H119/D119)</f>
        <v>0.00757575757575758</v>
      </c>
      <c r="J119" s="5" t="n">
        <v>0</v>
      </c>
      <c r="K119" s="5" t="n">
        <v>0</v>
      </c>
      <c r="L119" s="33" t="s">
        <v>150</v>
      </c>
    </row>
    <row r="120" customFormat="false" ht="15" hidden="false" customHeight="false" outlineLevel="0" collapsed="false">
      <c r="A120" s="26" t="s">
        <v>197</v>
      </c>
      <c r="B120" s="26" t="s">
        <v>118</v>
      </c>
      <c r="C120" s="27" t="s">
        <v>219</v>
      </c>
      <c r="D120" s="5" t="n">
        <v>254</v>
      </c>
      <c r="E120" s="6" t="n">
        <v>0.3793</v>
      </c>
      <c r="F120" s="29" t="n">
        <v>20</v>
      </c>
      <c r="G120" s="7" t="n">
        <v>52.7</v>
      </c>
      <c r="H120" s="5" t="n">
        <v>0</v>
      </c>
      <c r="I120" s="9" t="n">
        <f aca="false">IF(D120=0,0,H120/D120)</f>
        <v>0</v>
      </c>
      <c r="J120" s="5" t="n">
        <v>0</v>
      </c>
      <c r="K120" s="5" t="n">
        <v>0</v>
      </c>
      <c r="L120" s="30" t="s">
        <v>81</v>
      </c>
    </row>
    <row r="121" customFormat="false" ht="15" hidden="false" customHeight="false" outlineLevel="0" collapsed="false">
      <c r="A121" s="26" t="s">
        <v>197</v>
      </c>
      <c r="B121" s="26" t="s">
        <v>102</v>
      </c>
      <c r="C121" s="27" t="s">
        <v>220</v>
      </c>
      <c r="D121" s="5" t="n">
        <v>178</v>
      </c>
      <c r="E121" s="32" t="n">
        <v>0.2541</v>
      </c>
      <c r="F121" s="29" t="n">
        <v>14</v>
      </c>
      <c r="G121" s="7" t="n">
        <v>55.1</v>
      </c>
      <c r="H121" s="5" t="n">
        <v>0</v>
      </c>
      <c r="I121" s="9" t="n">
        <f aca="false">IF(D121=0,0,H121/D121)</f>
        <v>0</v>
      </c>
      <c r="J121" s="5" t="n">
        <v>0</v>
      </c>
      <c r="K121" s="5" t="n">
        <v>1</v>
      </c>
      <c r="L121" s="30" t="s">
        <v>81</v>
      </c>
    </row>
    <row r="122" customFormat="false" ht="15" hidden="false" customHeight="false" outlineLevel="0" collapsed="false">
      <c r="A122" s="27" t="s">
        <v>20</v>
      </c>
      <c r="B122" s="26" t="s">
        <v>88</v>
      </c>
      <c r="C122" s="27" t="s">
        <v>221</v>
      </c>
      <c r="D122" s="5" t="n">
        <v>2345</v>
      </c>
      <c r="E122" s="6" t="n">
        <v>0.3428</v>
      </c>
      <c r="F122" s="29" t="n">
        <v>10</v>
      </c>
      <c r="G122" s="7" t="n">
        <v>29.2</v>
      </c>
      <c r="H122" s="5" t="n">
        <v>3</v>
      </c>
      <c r="I122" s="9" t="n">
        <f aca="false">IF(D122=0,0,H122/D122)</f>
        <v>0.00127931769722815</v>
      </c>
      <c r="J122" s="5" t="n">
        <v>0</v>
      </c>
      <c r="K122" s="5" t="n">
        <v>0</v>
      </c>
      <c r="L122" s="30" t="s">
        <v>81</v>
      </c>
    </row>
    <row r="123" customFormat="false" ht="15" hidden="false" customHeight="false" outlineLevel="0" collapsed="false">
      <c r="A123" s="27" t="s">
        <v>20</v>
      </c>
      <c r="B123" s="26" t="s">
        <v>84</v>
      </c>
      <c r="C123" s="27" t="s">
        <v>222</v>
      </c>
      <c r="D123" s="5" t="n">
        <v>2244</v>
      </c>
      <c r="E123" s="31" t="n">
        <v>0.8619</v>
      </c>
      <c r="F123" s="29" t="n">
        <v>26</v>
      </c>
      <c r="G123" s="7" t="n">
        <v>30.2</v>
      </c>
      <c r="H123" s="5" t="n">
        <v>11</v>
      </c>
      <c r="I123" s="9" t="n">
        <f aca="false">IF(D123=0,0,H123/D123)</f>
        <v>0.00490196078431373</v>
      </c>
      <c r="J123" s="5" t="n">
        <v>0</v>
      </c>
      <c r="K123" s="5" t="n">
        <v>0</v>
      </c>
      <c r="L123" s="30" t="s">
        <v>81</v>
      </c>
    </row>
    <row r="124" customFormat="false" ht="15" hidden="false" customHeight="false" outlineLevel="0" collapsed="false">
      <c r="A124" s="27" t="s">
        <v>20</v>
      </c>
      <c r="B124" s="26" t="s">
        <v>86</v>
      </c>
      <c r="C124" s="27" t="s">
        <v>223</v>
      </c>
      <c r="D124" s="5" t="n">
        <v>1951</v>
      </c>
      <c r="E124" s="31" t="n">
        <v>0.7626</v>
      </c>
      <c r="F124" s="29" t="n">
        <v>25</v>
      </c>
      <c r="G124" s="7" t="n">
        <v>32.8</v>
      </c>
      <c r="H124" s="5" t="n">
        <v>2</v>
      </c>
      <c r="I124" s="9" t="n">
        <f aca="false">IF(D124=0,0,H124/D124)</f>
        <v>0.00102511532547412</v>
      </c>
      <c r="J124" s="5" t="n">
        <v>0</v>
      </c>
      <c r="K124" s="5" t="n">
        <v>0</v>
      </c>
      <c r="L124" s="30" t="s">
        <v>81</v>
      </c>
    </row>
    <row r="125" customFormat="false" ht="15" hidden="false" customHeight="false" outlineLevel="0" collapsed="false">
      <c r="A125" s="27" t="s">
        <v>20</v>
      </c>
      <c r="B125" s="26" t="s">
        <v>155</v>
      </c>
      <c r="C125" s="27" t="s">
        <v>224</v>
      </c>
      <c r="D125" s="5" t="n">
        <v>1917</v>
      </c>
      <c r="E125" s="6" t="n">
        <v>0.5438</v>
      </c>
      <c r="F125" s="29" t="n">
        <v>17</v>
      </c>
      <c r="G125" s="7" t="n">
        <v>31.3</v>
      </c>
      <c r="H125" s="5" t="n">
        <v>8</v>
      </c>
      <c r="I125" s="9" t="n">
        <f aca="false">IF(D125=0,0,H125/D125)</f>
        <v>0.00417318727177882</v>
      </c>
      <c r="J125" s="5" t="n">
        <v>0</v>
      </c>
      <c r="K125" s="5" t="n">
        <v>0</v>
      </c>
      <c r="L125" s="30" t="s">
        <v>81</v>
      </c>
    </row>
    <row r="126" customFormat="false" ht="15" hidden="false" customHeight="false" outlineLevel="0" collapsed="false">
      <c r="A126" s="27" t="s">
        <v>20</v>
      </c>
      <c r="B126" s="26" t="s">
        <v>98</v>
      </c>
      <c r="C126" s="27" t="s">
        <v>225</v>
      </c>
      <c r="D126" s="5" t="n">
        <v>1907</v>
      </c>
      <c r="E126" s="6" t="n">
        <v>0.5741</v>
      </c>
      <c r="F126" s="29" t="n">
        <v>18</v>
      </c>
      <c r="G126" s="7" t="n">
        <v>31.4</v>
      </c>
      <c r="H126" s="5" t="n">
        <v>7</v>
      </c>
      <c r="I126" s="9" t="n">
        <f aca="false">IF(D126=0,0,H126/D126)</f>
        <v>0.00367068694284216</v>
      </c>
      <c r="J126" s="5" t="n">
        <v>0</v>
      </c>
      <c r="K126" s="5" t="n">
        <v>1</v>
      </c>
      <c r="L126" s="30" t="s">
        <v>81</v>
      </c>
    </row>
    <row r="127" customFormat="false" ht="15" hidden="false" customHeight="false" outlineLevel="0" collapsed="false">
      <c r="A127" s="27" t="s">
        <v>20</v>
      </c>
      <c r="B127" s="26" t="s">
        <v>164</v>
      </c>
      <c r="C127" s="27" t="s">
        <v>226</v>
      </c>
      <c r="D127" s="5" t="n">
        <v>1704</v>
      </c>
      <c r="E127" s="6" t="n">
        <v>0.4958</v>
      </c>
      <c r="F127" s="29" t="n">
        <v>13</v>
      </c>
      <c r="G127" s="7" t="n">
        <v>26.2</v>
      </c>
      <c r="H127" s="5" t="n">
        <v>7</v>
      </c>
      <c r="I127" s="9" t="n">
        <f aca="false">IF(D127=0,0,H127/D127)</f>
        <v>0.00410798122065728</v>
      </c>
      <c r="J127" s="5" t="n">
        <v>0</v>
      </c>
      <c r="K127" s="5" t="n">
        <v>0</v>
      </c>
      <c r="L127" s="30" t="s">
        <v>81</v>
      </c>
    </row>
    <row r="128" customFormat="false" ht="15" hidden="false" customHeight="false" outlineLevel="0" collapsed="false">
      <c r="A128" s="27" t="s">
        <v>20</v>
      </c>
      <c r="B128" s="26" t="s">
        <v>141</v>
      </c>
      <c r="C128" s="27" t="s">
        <v>227</v>
      </c>
      <c r="D128" s="5" t="n">
        <v>1693</v>
      </c>
      <c r="E128" s="6" t="n">
        <v>0.3869</v>
      </c>
      <c r="F128" s="29" t="n">
        <v>10</v>
      </c>
      <c r="G128" s="7" t="n">
        <v>25.8</v>
      </c>
      <c r="H128" s="5" t="n">
        <v>4</v>
      </c>
      <c r="I128" s="9" t="n">
        <f aca="false">IF(D128=0,0,H128/D128)</f>
        <v>0.00236266981689309</v>
      </c>
      <c r="J128" s="5" t="n">
        <v>0</v>
      </c>
      <c r="K128" s="5" t="n">
        <v>0</v>
      </c>
      <c r="L128" s="30" t="s">
        <v>81</v>
      </c>
    </row>
    <row r="129" customFormat="false" ht="15" hidden="false" customHeight="false" outlineLevel="0" collapsed="false">
      <c r="A129" s="27" t="s">
        <v>20</v>
      </c>
      <c r="B129" s="26" t="s">
        <v>82</v>
      </c>
      <c r="C129" s="27" t="s">
        <v>228</v>
      </c>
      <c r="D129" s="5" t="n">
        <v>1174</v>
      </c>
      <c r="E129" s="31" t="n">
        <v>0.6505</v>
      </c>
      <c r="F129" s="29" t="n">
        <v>16</v>
      </c>
      <c r="G129" s="7" t="n">
        <v>24.6</v>
      </c>
      <c r="H129" s="5" t="n">
        <v>10</v>
      </c>
      <c r="I129" s="9" t="n">
        <f aca="false">IF(D129=0,0,H129/D129)</f>
        <v>0.00851788756388416</v>
      </c>
      <c r="J129" s="5" t="n">
        <v>0</v>
      </c>
      <c r="K129" s="5" t="n">
        <v>2</v>
      </c>
      <c r="L129" s="30" t="s">
        <v>81</v>
      </c>
    </row>
    <row r="130" customFormat="false" ht="15" hidden="false" customHeight="false" outlineLevel="0" collapsed="false">
      <c r="A130" s="27" t="s">
        <v>20</v>
      </c>
      <c r="B130" s="26" t="s">
        <v>79</v>
      </c>
      <c r="C130" s="27" t="s">
        <v>229</v>
      </c>
      <c r="D130" s="5" t="n">
        <v>1111</v>
      </c>
      <c r="E130" s="6" t="n">
        <v>0.4173</v>
      </c>
      <c r="F130" s="29" t="n">
        <v>18</v>
      </c>
      <c r="G130" s="7" t="n">
        <v>43.1</v>
      </c>
      <c r="H130" s="5" t="n">
        <v>6</v>
      </c>
      <c r="I130" s="9" t="n">
        <f aca="false">IF(D130=0,0,H130/D130)</f>
        <v>0.0054005400540054</v>
      </c>
      <c r="J130" s="5" t="n">
        <v>0</v>
      </c>
      <c r="K130" s="5" t="n">
        <v>1</v>
      </c>
      <c r="L130" s="30" t="s">
        <v>81</v>
      </c>
    </row>
    <row r="131" customFormat="false" ht="15" hidden="false" customHeight="false" outlineLevel="0" collapsed="false">
      <c r="A131" s="27" t="s">
        <v>20</v>
      </c>
      <c r="B131" s="26" t="s">
        <v>118</v>
      </c>
      <c r="C131" s="26" t="s">
        <v>230</v>
      </c>
      <c r="D131" s="5" t="n">
        <v>988</v>
      </c>
      <c r="E131" s="32" t="n">
        <v>0.2857</v>
      </c>
      <c r="F131" s="29" t="n">
        <v>16</v>
      </c>
      <c r="G131" s="7" t="n">
        <v>56</v>
      </c>
      <c r="H131" s="5" t="n">
        <v>4</v>
      </c>
      <c r="I131" s="9" t="n">
        <f aca="false">IF(D131=0,0,H131/D131)</f>
        <v>0.00404858299595142</v>
      </c>
      <c r="J131" s="5" t="n">
        <v>0</v>
      </c>
      <c r="K131" s="5" t="n">
        <v>0</v>
      </c>
      <c r="L131" s="33" t="s">
        <v>150</v>
      </c>
    </row>
    <row r="132" customFormat="false" ht="15" hidden="false" customHeight="false" outlineLevel="0" collapsed="false">
      <c r="A132" s="27" t="s">
        <v>20</v>
      </c>
      <c r="B132" s="26" t="s">
        <v>113</v>
      </c>
      <c r="C132" s="26" t="s">
        <v>231</v>
      </c>
      <c r="D132" s="5" t="n">
        <v>966</v>
      </c>
      <c r="E132" s="6" t="n">
        <v>0.3306</v>
      </c>
      <c r="F132" s="29" t="n">
        <v>14</v>
      </c>
      <c r="G132" s="7" t="n">
        <v>42.3</v>
      </c>
      <c r="H132" s="5" t="n">
        <v>4</v>
      </c>
      <c r="I132" s="9" t="n">
        <f aca="false">IF(D132=0,0,H132/D132)</f>
        <v>0.0041407867494824</v>
      </c>
      <c r="J132" s="5" t="n">
        <v>0</v>
      </c>
      <c r="K132" s="5" t="n">
        <v>0</v>
      </c>
      <c r="L132" s="33" t="s">
        <v>150</v>
      </c>
    </row>
    <row r="133" customFormat="false" ht="15" hidden="false" customHeight="false" outlineLevel="0" collapsed="false">
      <c r="A133" s="27" t="s">
        <v>20</v>
      </c>
      <c r="B133" s="26" t="s">
        <v>115</v>
      </c>
      <c r="C133" s="26" t="s">
        <v>232</v>
      </c>
      <c r="D133" s="5" t="n">
        <v>919</v>
      </c>
      <c r="E133" s="6" t="n">
        <v>0.3802</v>
      </c>
      <c r="F133" s="29" t="n">
        <v>12</v>
      </c>
      <c r="G133" s="7" t="n">
        <v>31.6</v>
      </c>
      <c r="H133" s="5" t="n">
        <v>6</v>
      </c>
      <c r="I133" s="9" t="n">
        <f aca="false">IF(D133=0,0,H133/D133)</f>
        <v>0.00652883569096844</v>
      </c>
      <c r="J133" s="5" t="n">
        <v>0</v>
      </c>
      <c r="K133" s="5" t="n">
        <v>0</v>
      </c>
      <c r="L133" s="33" t="s">
        <v>150</v>
      </c>
    </row>
    <row r="134" customFormat="false" ht="15" hidden="false" customHeight="false" outlineLevel="0" collapsed="false">
      <c r="A134" s="27" t="s">
        <v>20</v>
      </c>
      <c r="B134" s="26" t="s">
        <v>110</v>
      </c>
      <c r="C134" s="26" t="s">
        <v>233</v>
      </c>
      <c r="D134" s="5" t="n">
        <v>890</v>
      </c>
      <c r="E134" s="31" t="n">
        <v>0.8038</v>
      </c>
      <c r="F134" s="29" t="n">
        <v>24</v>
      </c>
      <c r="G134" s="7" t="n">
        <v>29.9</v>
      </c>
      <c r="H134" s="5" t="n">
        <v>5</v>
      </c>
      <c r="I134" s="9" t="n">
        <f aca="false">IF(D134=0,0,H134/D134)</f>
        <v>0.00561797752808989</v>
      </c>
      <c r="J134" s="5" t="n">
        <v>0</v>
      </c>
      <c r="K134" s="5" t="n">
        <v>1</v>
      </c>
      <c r="L134" s="30" t="s">
        <v>81</v>
      </c>
    </row>
    <row r="135" customFormat="false" ht="15" hidden="false" customHeight="false" outlineLevel="0" collapsed="false">
      <c r="A135" s="27" t="s">
        <v>20</v>
      </c>
      <c r="B135" s="26" t="s">
        <v>118</v>
      </c>
      <c r="C135" s="26" t="s">
        <v>234</v>
      </c>
      <c r="D135" s="5" t="n">
        <v>660</v>
      </c>
      <c r="E135" s="6" t="n">
        <v>0.4114</v>
      </c>
      <c r="F135" s="29" t="n">
        <v>18</v>
      </c>
      <c r="G135" s="7" t="n">
        <v>43.8</v>
      </c>
      <c r="H135" s="5" t="n">
        <v>0</v>
      </c>
      <c r="I135" s="9" t="n">
        <f aca="false">IF(D135=0,0,H135/D135)</f>
        <v>0</v>
      </c>
      <c r="J135" s="5" t="n">
        <v>0</v>
      </c>
      <c r="K135" s="5" t="n">
        <v>0</v>
      </c>
      <c r="L135" s="33" t="s">
        <v>150</v>
      </c>
    </row>
    <row r="136" customFormat="false" ht="15" hidden="false" customHeight="false" outlineLevel="0" collapsed="false">
      <c r="A136" s="27" t="s">
        <v>20</v>
      </c>
      <c r="B136" s="26" t="s">
        <v>105</v>
      </c>
      <c r="C136" s="26" t="s">
        <v>235</v>
      </c>
      <c r="D136" s="5" t="n">
        <v>612</v>
      </c>
      <c r="E136" s="32" t="n">
        <v>0.284</v>
      </c>
      <c r="F136" s="29" t="n">
        <v>15</v>
      </c>
      <c r="G136" s="7" t="n">
        <v>52.8</v>
      </c>
      <c r="H136" s="5" t="n">
        <v>2</v>
      </c>
      <c r="I136" s="9" t="n">
        <f aca="false">IF(D136=0,0,H136/D136)</f>
        <v>0.00326797385620915</v>
      </c>
      <c r="J136" s="5" t="n">
        <v>0</v>
      </c>
      <c r="K136" s="5" t="n">
        <v>0</v>
      </c>
      <c r="L136" s="30" t="s">
        <v>81</v>
      </c>
    </row>
    <row r="137" customFormat="false" ht="15" hidden="false" customHeight="false" outlineLevel="0" collapsed="false">
      <c r="A137" s="27" t="s">
        <v>20</v>
      </c>
      <c r="B137" s="26" t="s">
        <v>110</v>
      </c>
      <c r="C137" s="26" t="s">
        <v>236</v>
      </c>
      <c r="D137" s="5" t="n">
        <v>512</v>
      </c>
      <c r="E137" s="6" t="n">
        <v>0.3263</v>
      </c>
      <c r="F137" s="29" t="n">
        <v>14</v>
      </c>
      <c r="G137" s="7" t="n">
        <v>42.9</v>
      </c>
      <c r="H137" s="5" t="n">
        <v>2</v>
      </c>
      <c r="I137" s="9" t="n">
        <f aca="false">IF(D137=0,0,H137/D137)</f>
        <v>0.00390625</v>
      </c>
      <c r="J137" s="5" t="n">
        <v>0</v>
      </c>
      <c r="K137" s="5" t="n">
        <v>0</v>
      </c>
      <c r="L137" s="33" t="s">
        <v>150</v>
      </c>
    </row>
    <row r="138" customFormat="false" ht="15" hidden="false" customHeight="false" outlineLevel="0" collapsed="false">
      <c r="A138" s="27" t="s">
        <v>20</v>
      </c>
      <c r="B138" s="26" t="s">
        <v>121</v>
      </c>
      <c r="C138" s="26" t="s">
        <v>237</v>
      </c>
      <c r="D138" s="5" t="n">
        <v>371</v>
      </c>
      <c r="E138" s="6" t="n">
        <v>0.3952</v>
      </c>
      <c r="F138" s="29" t="n">
        <v>24</v>
      </c>
      <c r="G138" s="7" t="n">
        <v>60.7</v>
      </c>
      <c r="H138" s="5" t="n">
        <v>4</v>
      </c>
      <c r="I138" s="9" t="n">
        <f aca="false">IF(D138=0,0,H138/D138)</f>
        <v>0.0107816711590297</v>
      </c>
      <c r="J138" s="5" t="n">
        <v>0</v>
      </c>
      <c r="K138" s="5" t="n">
        <v>0</v>
      </c>
      <c r="L138" s="33" t="s">
        <v>150</v>
      </c>
    </row>
    <row r="139" customFormat="false" ht="15" hidden="false" customHeight="false" outlineLevel="0" collapsed="false">
      <c r="A139" s="27" t="s">
        <v>20</v>
      </c>
      <c r="B139" s="26" t="s">
        <v>102</v>
      </c>
      <c r="C139" s="27" t="s">
        <v>238</v>
      </c>
      <c r="D139" s="5" t="n">
        <v>361</v>
      </c>
      <c r="E139" s="6" t="n">
        <v>0.3301</v>
      </c>
      <c r="F139" s="29" t="n">
        <v>19</v>
      </c>
      <c r="G139" s="7" t="n">
        <v>57.6</v>
      </c>
      <c r="H139" s="5" t="n">
        <v>3</v>
      </c>
      <c r="I139" s="9" t="n">
        <f aca="false">IF(D139=0,0,H139/D139)</f>
        <v>0.00831024930747923</v>
      </c>
      <c r="J139" s="5" t="n">
        <v>0</v>
      </c>
      <c r="K139" s="5" t="n">
        <v>0</v>
      </c>
      <c r="L139" s="30" t="s">
        <v>81</v>
      </c>
    </row>
    <row r="140" customFormat="false" ht="15" hidden="false" customHeight="false" outlineLevel="0" collapsed="false">
      <c r="A140" s="27" t="s">
        <v>20</v>
      </c>
      <c r="B140" s="26" t="s">
        <v>105</v>
      </c>
      <c r="C140" s="27" t="s">
        <v>239</v>
      </c>
      <c r="D140" s="5" t="n">
        <v>260</v>
      </c>
      <c r="E140" s="32" t="n">
        <v>0.2418</v>
      </c>
      <c r="F140" s="29" t="n">
        <v>13</v>
      </c>
      <c r="G140" s="7" t="n">
        <v>53.8</v>
      </c>
      <c r="H140" s="5" t="n">
        <v>0</v>
      </c>
      <c r="I140" s="9" t="n">
        <f aca="false">IF(D140=0,0,H140/D140)</f>
        <v>0</v>
      </c>
      <c r="J140" s="5" t="n">
        <v>0</v>
      </c>
      <c r="K140" s="5" t="n">
        <v>0</v>
      </c>
      <c r="L140" s="30" t="s">
        <v>81</v>
      </c>
    </row>
    <row r="141" customFormat="false" ht="15" hidden="false" customHeight="false" outlineLevel="0" collapsed="false">
      <c r="A141" s="27" t="s">
        <v>20</v>
      </c>
      <c r="B141" s="26" t="s">
        <v>113</v>
      </c>
      <c r="C141" s="26" t="s">
        <v>240</v>
      </c>
      <c r="D141" s="5" t="n">
        <v>152</v>
      </c>
      <c r="E141" s="6" t="n">
        <v>0.4963</v>
      </c>
      <c r="F141" s="29" t="n">
        <v>24</v>
      </c>
      <c r="G141" s="7" t="n">
        <v>48.4</v>
      </c>
      <c r="H141" s="5" t="n">
        <v>0</v>
      </c>
      <c r="I141" s="9" t="n">
        <f aca="false">IF(D141=0,0,H141/D141)</f>
        <v>0</v>
      </c>
      <c r="J141" s="5" t="n">
        <v>0</v>
      </c>
      <c r="K141" s="5" t="n">
        <v>0</v>
      </c>
      <c r="L141" s="33" t="s">
        <v>150</v>
      </c>
    </row>
  </sheetData>
  <autoFilter ref="A3:L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42"/>
  </cols>
  <sheetData>
    <row r="1" customFormat="false" ht="21.6" hidden="false" customHeight="false" outlineLevel="0" collapsed="false">
      <c r="A1" s="21" t="s">
        <v>241</v>
      </c>
    </row>
    <row r="3" customFormat="false" ht="30" hidden="false" customHeight="true" outlineLevel="0" collapsed="false">
      <c r="A3" s="22" t="s">
        <v>242</v>
      </c>
      <c r="B3" s="3" t="s">
        <v>243</v>
      </c>
      <c r="C3" s="3" t="s">
        <v>244</v>
      </c>
      <c r="D3" s="3" t="s">
        <v>245</v>
      </c>
      <c r="E3" s="3" t="s">
        <v>246</v>
      </c>
      <c r="F3" s="3" t="s">
        <v>247</v>
      </c>
      <c r="G3" s="3" t="s">
        <v>248</v>
      </c>
    </row>
    <row r="4" customFormat="false" ht="45.75" hidden="false" customHeight="true" outlineLevel="0" collapsed="false">
      <c r="A4" s="30" t="n">
        <v>1</v>
      </c>
      <c r="B4" s="11" t="s">
        <v>249</v>
      </c>
      <c r="C4" s="34" t="s">
        <v>250</v>
      </c>
      <c r="D4" s="35" t="s">
        <v>251</v>
      </c>
      <c r="E4" s="34" t="s">
        <v>252</v>
      </c>
      <c r="F4" s="36" t="s">
        <v>253</v>
      </c>
      <c r="G4" s="34" t="s">
        <v>254</v>
      </c>
    </row>
    <row r="5" customFormat="false" ht="45.75" hidden="false" customHeight="true" outlineLevel="0" collapsed="false">
      <c r="A5" s="30" t="n">
        <v>2</v>
      </c>
      <c r="B5" s="4" t="s">
        <v>255</v>
      </c>
      <c r="C5" s="34" t="s">
        <v>256</v>
      </c>
      <c r="D5" s="35" t="s">
        <v>257</v>
      </c>
      <c r="E5" s="34" t="s">
        <v>258</v>
      </c>
      <c r="F5" s="36" t="s">
        <v>253</v>
      </c>
      <c r="G5" s="34" t="s">
        <v>259</v>
      </c>
    </row>
    <row r="6" customFormat="false" ht="45.75" hidden="false" customHeight="true" outlineLevel="0" collapsed="false">
      <c r="A6" s="30" t="n">
        <v>3</v>
      </c>
      <c r="B6" s="11" t="s">
        <v>260</v>
      </c>
      <c r="C6" s="34" t="s">
        <v>261</v>
      </c>
      <c r="D6" s="35" t="s">
        <v>262</v>
      </c>
      <c r="E6" s="34" t="s">
        <v>263</v>
      </c>
      <c r="F6" s="37" t="s">
        <v>264</v>
      </c>
      <c r="G6" s="34" t="s">
        <v>265</v>
      </c>
    </row>
    <row r="7" customFormat="false" ht="45.75" hidden="false" customHeight="true" outlineLevel="0" collapsed="false">
      <c r="A7" s="30" t="n">
        <v>4</v>
      </c>
      <c r="B7" s="11" t="s">
        <v>266</v>
      </c>
      <c r="C7" s="34" t="s">
        <v>267</v>
      </c>
      <c r="D7" s="34" t="s">
        <v>268</v>
      </c>
      <c r="E7" s="34" t="s">
        <v>269</v>
      </c>
      <c r="F7" s="37" t="s">
        <v>264</v>
      </c>
      <c r="G7" s="34" t="s">
        <v>270</v>
      </c>
    </row>
    <row r="8" customFormat="false" ht="45.75" hidden="false" customHeight="true" outlineLevel="0" collapsed="false">
      <c r="A8" s="30" t="n">
        <v>5</v>
      </c>
      <c r="B8" s="11" t="s">
        <v>271</v>
      </c>
      <c r="C8" s="35" t="s">
        <v>272</v>
      </c>
      <c r="D8" s="35" t="s">
        <v>273</v>
      </c>
      <c r="E8" s="34" t="s">
        <v>274</v>
      </c>
      <c r="F8" s="36" t="s">
        <v>253</v>
      </c>
      <c r="G8" s="34" t="s">
        <v>275</v>
      </c>
    </row>
    <row r="9" customFormat="false" ht="45.75" hidden="false" customHeight="true" outlineLevel="0" collapsed="false">
      <c r="A9" s="30" t="n">
        <v>6</v>
      </c>
      <c r="B9" s="11" t="s">
        <v>266</v>
      </c>
      <c r="C9" s="34" t="s">
        <v>276</v>
      </c>
      <c r="D9" s="34" t="s">
        <v>277</v>
      </c>
      <c r="E9" s="34" t="s">
        <v>278</v>
      </c>
      <c r="F9" s="36" t="s">
        <v>253</v>
      </c>
      <c r="G9" s="34" t="s">
        <v>279</v>
      </c>
    </row>
    <row r="10" customFormat="false" ht="45.75" hidden="false" customHeight="true" outlineLevel="0" collapsed="false">
      <c r="A10" s="30" t="n">
        <v>7</v>
      </c>
      <c r="B10" s="4" t="s">
        <v>255</v>
      </c>
      <c r="C10" s="34" t="s">
        <v>280</v>
      </c>
      <c r="D10" s="35" t="s">
        <v>281</v>
      </c>
      <c r="E10" s="34" t="s">
        <v>282</v>
      </c>
      <c r="F10" s="38" t="s">
        <v>283</v>
      </c>
      <c r="G10" s="34" t="s">
        <v>284</v>
      </c>
    </row>
    <row r="11" customFormat="false" ht="45.75" hidden="false" customHeight="true" outlineLevel="0" collapsed="false">
      <c r="A11" s="30" t="n">
        <v>8</v>
      </c>
      <c r="B11" s="11" t="s">
        <v>285</v>
      </c>
      <c r="C11" s="34" t="s">
        <v>286</v>
      </c>
      <c r="D11" s="34" t="s">
        <v>287</v>
      </c>
      <c r="E11" s="34" t="s">
        <v>288</v>
      </c>
      <c r="F11" s="37" t="s">
        <v>289</v>
      </c>
      <c r="G11" s="35" t="s">
        <v>290</v>
      </c>
    </row>
    <row r="12" customFormat="false" ht="45.75" hidden="false" customHeight="true" outlineLevel="0" collapsed="false">
      <c r="A12" s="30" t="n">
        <v>9</v>
      </c>
      <c r="B12" s="4" t="s">
        <v>291</v>
      </c>
      <c r="C12" s="34" t="s">
        <v>292</v>
      </c>
      <c r="D12" s="35" t="s">
        <v>293</v>
      </c>
      <c r="E12" s="34" t="s">
        <v>294</v>
      </c>
      <c r="F12" s="37" t="s">
        <v>295</v>
      </c>
      <c r="G12" s="34" t="s">
        <v>296</v>
      </c>
    </row>
    <row r="13" customFormat="false" ht="45.75" hidden="false" customHeight="true" outlineLevel="0" collapsed="false">
      <c r="A13" s="30" t="n">
        <v>10</v>
      </c>
      <c r="B13" s="4" t="s">
        <v>297</v>
      </c>
      <c r="C13" s="35" t="s">
        <v>298</v>
      </c>
      <c r="D13" s="35" t="s">
        <v>299</v>
      </c>
      <c r="E13" s="34" t="s">
        <v>300</v>
      </c>
      <c r="F13" s="37" t="s">
        <v>301</v>
      </c>
      <c r="G13" s="34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21" t="s">
        <v>303</v>
      </c>
    </row>
    <row r="3" customFormat="false" ht="15" hidden="false" customHeight="false" outlineLevel="0" collapsed="false">
      <c r="A3" s="39" t="s">
        <v>304</v>
      </c>
    </row>
    <row r="4" customFormat="false" ht="30" hidden="false" customHeight="true" outlineLevel="0" collapsed="false">
      <c r="A4" s="3" t="s">
        <v>305</v>
      </c>
      <c r="B4" s="3" t="s">
        <v>14</v>
      </c>
      <c r="C4" s="22" t="s">
        <v>306</v>
      </c>
      <c r="D4" s="22" t="s">
        <v>307</v>
      </c>
      <c r="E4" s="3" t="s">
        <v>19</v>
      </c>
      <c r="F4" s="3" t="s">
        <v>20</v>
      </c>
      <c r="G4" s="3" t="s">
        <v>21</v>
      </c>
      <c r="H4" s="3" t="s">
        <v>308</v>
      </c>
    </row>
    <row r="5" customFormat="false" ht="15" hidden="false" customHeight="false" outlineLevel="0" collapsed="false">
      <c r="A5" s="26" t="s">
        <v>102</v>
      </c>
      <c r="B5" s="5" t="n">
        <v>1038</v>
      </c>
      <c r="C5" s="5" t="n">
        <v>801</v>
      </c>
      <c r="D5" s="5" t="n">
        <v>1826</v>
      </c>
      <c r="E5" s="5" t="n">
        <v>1328</v>
      </c>
      <c r="F5" s="5" t="n">
        <v>448</v>
      </c>
      <c r="G5" s="5"/>
      <c r="H5" s="14" t="n">
        <f aca="false">SUM(B5:G5)</f>
        <v>5441</v>
      </c>
    </row>
    <row r="6" customFormat="false" ht="15" hidden="false" customHeight="false" outlineLevel="0" collapsed="false">
      <c r="A6" s="26" t="s">
        <v>100</v>
      </c>
      <c r="B6" s="5" t="n">
        <v>1626</v>
      </c>
      <c r="C6" s="5" t="n">
        <v>1582</v>
      </c>
      <c r="D6" s="5" t="n">
        <v>2266</v>
      </c>
      <c r="E6" s="5" t="n">
        <v>1077</v>
      </c>
      <c r="F6" s="5" t="n">
        <v>1098</v>
      </c>
      <c r="G6" s="5"/>
      <c r="H6" s="14" t="n">
        <f aca="false">SUM(B6:G6)</f>
        <v>7649</v>
      </c>
    </row>
    <row r="7" customFormat="false" ht="15" hidden="false" customHeight="false" outlineLevel="0" collapsed="false">
      <c r="A7" s="26" t="s">
        <v>108</v>
      </c>
      <c r="B7" s="5" t="n">
        <v>172</v>
      </c>
      <c r="C7" s="5" t="n">
        <v>1754</v>
      </c>
      <c r="D7" s="5" t="n">
        <v>160</v>
      </c>
      <c r="E7" s="5" t="n">
        <v>1314</v>
      </c>
      <c r="F7" s="5" t="n">
        <v>42</v>
      </c>
      <c r="G7" s="5"/>
      <c r="H7" s="14" t="n">
        <f aca="false">SUM(B7:G7)</f>
        <v>3442</v>
      </c>
    </row>
    <row r="8" customFormat="false" ht="15" hidden="false" customHeight="false" outlineLevel="0" collapsed="false">
      <c r="A8" s="26" t="s">
        <v>110</v>
      </c>
      <c r="B8" s="5" t="n">
        <v>2897</v>
      </c>
      <c r="C8" s="5" t="n">
        <v>1080</v>
      </c>
      <c r="D8" s="5" t="n">
        <v>1076</v>
      </c>
      <c r="E8" s="5" t="n">
        <v>2481</v>
      </c>
      <c r="F8" s="5" t="n">
        <v>2606</v>
      </c>
      <c r="G8" s="5"/>
      <c r="H8" s="14" t="n">
        <f aca="false">SUM(B8:G8)</f>
        <v>10140</v>
      </c>
    </row>
    <row r="9" customFormat="false" ht="15" hidden="false" customHeight="false" outlineLevel="0" collapsed="false">
      <c r="A9" s="26" t="s">
        <v>113</v>
      </c>
      <c r="B9" s="5" t="n">
        <v>1036</v>
      </c>
      <c r="C9" s="5" t="n">
        <v>3361</v>
      </c>
      <c r="D9" s="5" t="n">
        <v>872</v>
      </c>
      <c r="E9" s="5" t="n">
        <v>3432</v>
      </c>
      <c r="F9" s="5" t="n">
        <v>818</v>
      </c>
      <c r="G9" s="5"/>
      <c r="H9" s="14" t="n">
        <f aca="false">SUM(B9:G9)</f>
        <v>9519</v>
      </c>
    </row>
    <row r="10" customFormat="false" ht="15" hidden="false" customHeight="false" outlineLevel="0" collapsed="false">
      <c r="A10" s="26" t="s">
        <v>115</v>
      </c>
      <c r="B10" s="5" t="n">
        <v>961</v>
      </c>
      <c r="C10" s="5" t="n">
        <v>1910</v>
      </c>
      <c r="D10" s="5" t="n">
        <v>2014</v>
      </c>
      <c r="E10" s="5" t="n">
        <v>2488</v>
      </c>
      <c r="F10" s="5" t="n">
        <v>585</v>
      </c>
      <c r="G10" s="5"/>
      <c r="H10" s="14" t="n">
        <f aca="false">SUM(B10:G10)</f>
        <v>7958</v>
      </c>
    </row>
    <row r="11" customFormat="false" ht="15" hidden="false" customHeight="false" outlineLevel="0" collapsed="false">
      <c r="A11" s="26" t="s">
        <v>146</v>
      </c>
      <c r="B11" s="5" t="n">
        <v>3719</v>
      </c>
      <c r="C11" s="5" t="n">
        <v>2897</v>
      </c>
      <c r="D11" s="5" t="n">
        <v>965</v>
      </c>
      <c r="E11" s="5" t="n">
        <v>5207</v>
      </c>
      <c r="F11" s="5" t="n">
        <v>958</v>
      </c>
      <c r="G11" s="5"/>
      <c r="H11" s="14" t="n">
        <f aca="false">SUM(B11:G11)</f>
        <v>13746</v>
      </c>
    </row>
    <row r="12" customFormat="false" ht="15" hidden="false" customHeight="false" outlineLevel="0" collapsed="false">
      <c r="A12" s="26" t="s">
        <v>309</v>
      </c>
      <c r="B12" s="5" t="n">
        <v>1730</v>
      </c>
      <c r="C12" s="5" t="n">
        <v>1143</v>
      </c>
      <c r="D12" s="5" t="n">
        <v>2741</v>
      </c>
      <c r="E12" s="5" t="n">
        <v>2836</v>
      </c>
      <c r="F12" s="5" t="n">
        <v>2094</v>
      </c>
      <c r="G12" s="5"/>
      <c r="H12" s="14" t="n">
        <f aca="false">SUM(B12:G12)</f>
        <v>10544</v>
      </c>
    </row>
    <row r="13" customFormat="false" ht="15" hidden="false" customHeight="false" outlineLevel="0" collapsed="false">
      <c r="A13" s="4" t="s">
        <v>310</v>
      </c>
      <c r="B13" s="14" t="n">
        <f aca="false">IFERROR(AVERAGE(B5:B12),0)</f>
        <v>1647.375</v>
      </c>
      <c r="C13" s="14" t="n">
        <f aca="false">IFERROR(AVERAGE(C5:C12),0)</f>
        <v>1816</v>
      </c>
      <c r="D13" s="14" t="n">
        <f aca="false">IFERROR(AVERAGE(D5:D12),0)</f>
        <v>1490</v>
      </c>
      <c r="E13" s="14" t="n">
        <f aca="false">IFERROR(AVERAGE(E5:E12),0)</f>
        <v>2520.375</v>
      </c>
      <c r="F13" s="14" t="n">
        <f aca="false">IFERROR(AVERAGE(F5:F12),0)</f>
        <v>1081.125</v>
      </c>
      <c r="G13" s="14" t="n">
        <f aca="false">IFERROR(AVERAGE(G5:G12),0)</f>
        <v>0</v>
      </c>
      <c r="H13" s="14" t="n">
        <f aca="false">IFERROR(AVERAGE(H5:H12),0)</f>
        <v>8554.875</v>
      </c>
    </row>
    <row r="16" customFormat="false" ht="15" hidden="false" customHeight="false" outlineLevel="0" collapsed="false">
      <c r="A16" s="39" t="s">
        <v>311</v>
      </c>
    </row>
    <row r="17" customFormat="false" ht="30" hidden="false" customHeight="true" outlineLevel="0" collapsed="false">
      <c r="A17" s="3" t="s">
        <v>312</v>
      </c>
      <c r="B17" s="3" t="s">
        <v>4</v>
      </c>
      <c r="C17" s="3" t="s">
        <v>6</v>
      </c>
      <c r="D17" s="3" t="s">
        <v>7</v>
      </c>
      <c r="E17" s="3" t="s">
        <v>11</v>
      </c>
    </row>
    <row r="18" customFormat="false" ht="15" hidden="false" customHeight="false" outlineLevel="0" collapsed="false">
      <c r="A18" s="26" t="s">
        <v>313</v>
      </c>
      <c r="B18" s="23" t="n">
        <v>29</v>
      </c>
      <c r="C18" s="5" t="n">
        <v>955</v>
      </c>
      <c r="D18" s="6" t="n">
        <v>0.26</v>
      </c>
      <c r="E18" s="8" t="n">
        <v>0.00045</v>
      </c>
    </row>
    <row r="19" customFormat="false" ht="15" hidden="false" customHeight="false" outlineLevel="0" collapsed="false">
      <c r="A19" s="26" t="s">
        <v>314</v>
      </c>
      <c r="B19" s="23" t="n">
        <v>46</v>
      </c>
      <c r="C19" s="5" t="n">
        <v>942</v>
      </c>
      <c r="D19" s="6" t="n">
        <v>0.367</v>
      </c>
      <c r="E19" s="8" t="n">
        <v>0.00035</v>
      </c>
    </row>
    <row r="20" customFormat="false" ht="15" hidden="false" customHeight="false" outlineLevel="0" collapsed="false">
      <c r="A20" s="26" t="s">
        <v>315</v>
      </c>
      <c r="B20" s="23" t="n">
        <v>39</v>
      </c>
      <c r="C20" s="5" t="n">
        <v>1132</v>
      </c>
      <c r="D20" s="6" t="n">
        <v>0.527</v>
      </c>
      <c r="E20" s="8" t="n">
        <v>0.00046</v>
      </c>
    </row>
    <row r="21" customFormat="false" ht="15" hidden="false" customHeight="false" outlineLevel="0" collapsed="false">
      <c r="A21" s="26" t="s">
        <v>316</v>
      </c>
      <c r="B21" s="23" t="n">
        <v>21</v>
      </c>
      <c r="C21" s="5" t="n">
        <v>1438</v>
      </c>
      <c r="D21" s="6" t="n">
        <v>0.74</v>
      </c>
      <c r="E21" s="8" t="n">
        <v>0.00048</v>
      </c>
    </row>
    <row r="24" customFormat="false" ht="15" hidden="false" customHeight="false" outlineLevel="0" collapsed="false">
      <c r="A24" s="39" t="s">
        <v>317</v>
      </c>
    </row>
    <row r="25" customFormat="false" ht="30" hidden="false" customHeight="true" outlineLevel="0" collapsed="false">
      <c r="A25" s="3" t="s">
        <v>318</v>
      </c>
      <c r="B25" s="3" t="s">
        <v>4</v>
      </c>
      <c r="C25" s="3" t="s">
        <v>6</v>
      </c>
      <c r="D25" s="3" t="s">
        <v>7</v>
      </c>
      <c r="E25" s="3" t="s">
        <v>11</v>
      </c>
    </row>
    <row r="26" customFormat="false" ht="15" hidden="false" customHeight="false" outlineLevel="0" collapsed="false">
      <c r="A26" s="26" t="s">
        <v>319</v>
      </c>
      <c r="B26" s="23" t="n">
        <v>26</v>
      </c>
      <c r="C26" s="5" t="n">
        <v>1004</v>
      </c>
      <c r="D26" s="6" t="n">
        <v>0.344</v>
      </c>
      <c r="E26" s="8" t="n">
        <v>0.00026</v>
      </c>
    </row>
    <row r="27" customFormat="false" ht="15" hidden="false" customHeight="false" outlineLevel="0" collapsed="false">
      <c r="A27" s="26" t="s">
        <v>320</v>
      </c>
      <c r="B27" s="23" t="n">
        <v>65</v>
      </c>
      <c r="C27" s="5" t="n">
        <v>955</v>
      </c>
      <c r="D27" s="6" t="n">
        <v>0.42</v>
      </c>
      <c r="E27" s="8" t="n">
        <v>0.00043</v>
      </c>
    </row>
    <row r="28" customFormat="false" ht="15" hidden="false" customHeight="false" outlineLevel="0" collapsed="false">
      <c r="A28" s="26" t="s">
        <v>321</v>
      </c>
      <c r="B28" s="23" t="n">
        <v>20</v>
      </c>
      <c r="C28" s="5" t="n">
        <v>912</v>
      </c>
      <c r="D28" s="6" t="n">
        <v>0.506</v>
      </c>
      <c r="E28" s="8" t="n">
        <v>0.00026</v>
      </c>
    </row>
    <row r="29" customFormat="false" ht="15" hidden="false" customHeight="false" outlineLevel="0" collapsed="false">
      <c r="A29" s="26" t="s">
        <v>322</v>
      </c>
      <c r="B29" s="23" t="n">
        <v>27</v>
      </c>
      <c r="C29" s="5" t="n">
        <v>1254</v>
      </c>
      <c r="D29" s="6" t="n">
        <v>0.696</v>
      </c>
      <c r="E29" s="8" t="n">
        <v>0.00059</v>
      </c>
    </row>
    <row r="32" customFormat="false" ht="15" hidden="false" customHeight="false" outlineLevel="0" collapsed="false">
      <c r="A32" s="39" t="s">
        <v>323</v>
      </c>
    </row>
    <row r="33" customFormat="false" ht="30" hidden="false" customHeight="true" outlineLevel="0" collapsed="false">
      <c r="A33" s="3" t="s">
        <v>324</v>
      </c>
      <c r="B33" s="3" t="s">
        <v>4</v>
      </c>
      <c r="C33" s="3" t="s">
        <v>6</v>
      </c>
      <c r="D33" s="3" t="s">
        <v>7</v>
      </c>
      <c r="E33" s="3" t="s">
        <v>11</v>
      </c>
    </row>
    <row r="34" customFormat="false" ht="15" hidden="false" customHeight="false" outlineLevel="0" collapsed="false">
      <c r="A34" s="26" t="s">
        <v>325</v>
      </c>
      <c r="B34" s="23" t="n">
        <v>55</v>
      </c>
      <c r="C34" s="5" t="n">
        <v>1132</v>
      </c>
      <c r="D34" s="6" t="n">
        <v>0.567</v>
      </c>
      <c r="E34" s="8" t="n">
        <v>0.00026</v>
      </c>
    </row>
    <row r="35" customFormat="false" ht="15" hidden="false" customHeight="false" outlineLevel="0" collapsed="false">
      <c r="A35" s="26" t="s">
        <v>326</v>
      </c>
      <c r="B35" s="23" t="n">
        <v>29</v>
      </c>
      <c r="C35" s="5" t="n">
        <v>934</v>
      </c>
      <c r="D35" s="6" t="n">
        <v>0.416</v>
      </c>
      <c r="E35" s="8" t="n">
        <v>0.00053</v>
      </c>
    </row>
    <row r="36" customFormat="false" ht="15" hidden="false" customHeight="false" outlineLevel="0" collapsed="false">
      <c r="A36" s="26" t="s">
        <v>327</v>
      </c>
      <c r="B36" s="23" t="n">
        <v>29</v>
      </c>
      <c r="C36" s="5" t="n">
        <v>1007</v>
      </c>
      <c r="D36" s="6" t="n">
        <v>0.406</v>
      </c>
      <c r="E36" s="8" t="n">
        <v>0.00056</v>
      </c>
    </row>
    <row r="37" customFormat="false" ht="15" hidden="false" customHeight="false" outlineLevel="0" collapsed="false">
      <c r="A37" s="26" t="s">
        <v>328</v>
      </c>
      <c r="B37" s="23" t="n">
        <v>21</v>
      </c>
      <c r="C37" s="5" t="n">
        <v>988</v>
      </c>
      <c r="D37" s="6" t="n">
        <v>0.392</v>
      </c>
      <c r="E37" s="8" t="n">
        <v>0.00057</v>
      </c>
    </row>
    <row r="40" customFormat="false" ht="15" hidden="false" customHeight="false" outlineLevel="0" collapsed="false">
      <c r="A40" s="39" t="s">
        <v>329</v>
      </c>
    </row>
    <row r="41" customFormat="false" ht="30" hidden="false" customHeight="true" outlineLevel="0" collapsed="false">
      <c r="A41" s="3" t="s">
        <v>330</v>
      </c>
      <c r="B41" s="3" t="s">
        <v>4</v>
      </c>
      <c r="C41" s="3" t="s">
        <v>6</v>
      </c>
      <c r="D41" s="3" t="s">
        <v>7</v>
      </c>
      <c r="E41" s="3" t="s">
        <v>11</v>
      </c>
    </row>
    <row r="42" customFormat="false" ht="15" hidden="false" customHeight="false" outlineLevel="0" collapsed="false">
      <c r="A42" s="27" t="s">
        <v>331</v>
      </c>
      <c r="B42" s="23" t="n">
        <v>38</v>
      </c>
      <c r="C42" s="5" t="n">
        <v>920</v>
      </c>
      <c r="D42" s="32" t="n">
        <v>0.333</v>
      </c>
      <c r="E42" s="8" t="n">
        <v>0.00041</v>
      </c>
    </row>
    <row r="43" customFormat="false" ht="15" hidden="false" customHeight="false" outlineLevel="0" collapsed="false">
      <c r="A43" s="27" t="s">
        <v>332</v>
      </c>
      <c r="B43" s="23" t="n">
        <v>100</v>
      </c>
      <c r="C43" s="5" t="n">
        <v>1072</v>
      </c>
      <c r="D43" s="31" t="n">
        <v>0.523</v>
      </c>
      <c r="E43" s="8" t="n">
        <v>0.00042</v>
      </c>
    </row>
    <row r="46" customFormat="false" ht="15" hidden="false" customHeight="false" outlineLevel="0" collapsed="false">
      <c r="A46" s="2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2026-09-02T01:15:12Z</dcterms:created>
  <dc:creator>openpyxl</dc:creator>
  <dc:description/>
  <dc:language>en-US</dc:language>
  <cp:lastModifiedBy/>
  <dcterms:modified xsi:type="dcterms:W3CDTF">2026-09-02T01:15:12Z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