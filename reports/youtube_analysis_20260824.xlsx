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サマリー" sheetId="1" state="visible" r:id="rId3"/>
    <sheet name="チャンネル別詳細" sheetId="2" state="visible" r:id="rId4"/>
    <sheet name="動画別パフォーマンス" sheetId="3" state="visible" r:id="rId5"/>
    <sheet name="改善アクション" sheetId="4" state="visible" r:id="rId6"/>
    <sheet name="トレンド" sheetId="5" state="visible" r:id="rId7"/>
  </sheets>
  <definedNames>
    <definedName function="false" hidden="true" localSheetId="2" name="_xlnm._FilterDatabase" vbProcedure="false">動画別パフォーマンス!$A$4:$L$318</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<sst xmlns="http://schemas.openxmlformats.org/spreadsheetml/2006/main" count="1146" uniqueCount="521">
  <si>
    <r>
      <rPr>
        <b val="true"/>
        <sz val="14"/>
        <color rgb="FF1F3864"/>
        <rFont val="Arial"/>
        <family val="0"/>
        <charset val="1"/>
      </rPr>
      <t xml:space="preserve">YouTube Factory </t>
    </r>
    <r>
      <rPr>
        <b val="true"/>
        <sz val="14"/>
        <color rgb="FF1F3864"/>
        <rFont val="Noto Sans CJK SC"/>
        <family val="2"/>
      </rPr>
      <t xml:space="preserve">日次分析 </t>
    </r>
    <r>
      <rPr>
        <b val="true"/>
        <sz val="14"/>
        <color rgb="FF1F3864"/>
        <rFont val="Arial"/>
        <family val="0"/>
        <charset val="1"/>
      </rPr>
      <t xml:space="preserve">2026-08-24</t>
    </r>
  </si>
  <si>
    <t xml:space="preserve">データ基準: data/analytics/analytics.db（最終取得 2026-08-23 23:05 JST）。本日は外部APIに到達できず新規取得なし。</t>
  </si>
  <si>
    <t xml:space="preserve">至上目標=チャンネル登録者数の増加。以下すべて「登録/1000再生」を主評価軸とする。</t>
  </si>
  <si>
    <t xml:space="preserve">■ 本日の結論</t>
  </si>
  <si>
    <t xml:space="preserve">指標</t>
  </si>
  <si>
    <t xml:space="preserve">値</t>
  </si>
  <si>
    <t xml:space="preserve">比較対象</t>
  </si>
  <si>
    <t xml:space="preserve">意味</t>
  </si>
  <si>
    <t xml:space="preserve">高評価率 上位群 登録/1000再生</t>
  </si>
  <si>
    <t xml:space="preserve">下位群</t>
  </si>
  <si>
    <r>
      <rPr>
        <sz val="10"/>
        <rFont val="Arial"/>
        <family val="0"/>
        <charset val="1"/>
      </rPr>
      <t xml:space="preserve">ch</t>
    </r>
    <r>
      <rPr>
        <sz val="10"/>
        <rFont val="Noto Sans CJK SC"/>
        <family val="2"/>
      </rPr>
      <t xml:space="preserve">内中央値で二分。</t>
    </r>
    <r>
      <rPr>
        <sz val="10"/>
        <rFont val="Arial"/>
        <family val="0"/>
        <charset val="1"/>
      </rPr>
      <t xml:space="preserve">5ch</t>
    </r>
    <r>
      <rPr>
        <sz val="10"/>
        <rFont val="Noto Sans CJK SC"/>
        <family val="2"/>
      </rPr>
      <t xml:space="preserve">のうち</t>
    </r>
    <r>
      <rPr>
        <sz val="10"/>
        <rFont val="Arial"/>
        <family val="0"/>
        <charset val="1"/>
      </rPr>
      <t xml:space="preserve">4ch</t>
    </r>
    <r>
      <rPr>
        <sz val="10"/>
        <rFont val="Noto Sans CJK SC"/>
        <family val="2"/>
      </rPr>
      <t xml:space="preserve">で同方向。倍率</t>
    </r>
    <r>
      <rPr>
        <sz val="10"/>
        <rFont val="Arial"/>
        <family val="0"/>
        <charset val="1"/>
      </rPr>
      <t xml:space="preserve">=B7/D7</t>
    </r>
  </si>
  <si>
    <t xml:space="preserve">維持率 上位群 登録/1000再生</t>
  </si>
  <si>
    <t xml:space="preserve">同じ母集団で比較して1.14倍。維持率は登録にほぼ効かない。</t>
  </si>
  <si>
    <t xml:space="preserve">維持率 最上位四分位の再生中央値</t>
  </si>
  <si>
    <t xml:space="preserve">最下位四分位</t>
  </si>
  <si>
    <t xml:space="preserve">維持率はリーチ（再生数）にも効かない。四分位で平坦。</t>
  </si>
  <si>
    <t xml:space="preserve">■ チャンネル別（成熟動画のみ / 動画別シートを参照して集計）</t>
  </si>
  <si>
    <t xml:space="preserve">チャンネル</t>
  </si>
  <si>
    <t xml:space="preserve">分析対象本数</t>
  </si>
  <si>
    <t xml:space="preserve">再生数合計</t>
  </si>
  <si>
    <t xml:space="preserve">登録数合計</t>
  </si>
  <si>
    <t xml:space="preserve">登録/1000再生</t>
  </si>
  <si>
    <t xml:space="preserve">scp-lab</t>
  </si>
  <si>
    <t xml:space="preserve">daily-science</t>
  </si>
  <si>
    <t xml:space="preserve">pokemon-lab</t>
  </si>
  <si>
    <t xml:space="preserve">yokai-watch</t>
  </si>
  <si>
    <t xml:space="preserve">2ch-matome</t>
  </si>
  <si>
    <t xml:space="preserve">合計</t>
  </si>
  <si>
    <t xml:space="preserve">■ 本日実施した変更（Phase 3 完了・詳細は「改善アクション」シート）</t>
  </si>
  <si>
    <r>
      <rPr>
        <sz val="10"/>
        <rFont val="Arial"/>
        <family val="0"/>
        <charset val="1"/>
      </rPr>
      <t xml:space="preserve">1. </t>
    </r>
    <r>
      <rPr>
        <sz val="10"/>
        <rFont val="Noto Sans CJK SC"/>
        <family val="2"/>
      </rPr>
      <t xml:space="preserve">全</t>
    </r>
    <r>
      <rPr>
        <sz val="10"/>
        <rFont val="Arial"/>
        <family val="0"/>
        <charset val="1"/>
      </rPr>
      <t xml:space="preserve">5ch</t>
    </r>
    <r>
      <rPr>
        <sz val="10"/>
        <rFont val="Noto Sans CJK SC"/>
        <family val="2"/>
      </rPr>
      <t xml:space="preserve">の台本</t>
    </r>
    <r>
      <rPr>
        <sz val="10"/>
        <rFont val="Arial"/>
        <family val="0"/>
        <charset val="1"/>
      </rPr>
      <t xml:space="preserve">8</t>
    </r>
    <r>
      <rPr>
        <sz val="10"/>
        <rFont val="Noto Sans CJK SC"/>
        <family val="2"/>
      </rPr>
      <t xml:space="preserve">行目</t>
    </r>
    <r>
      <rPr>
        <sz val="10"/>
        <rFont val="Arial"/>
        <family val="0"/>
        <charset val="1"/>
      </rPr>
      <t xml:space="preserve">CTA</t>
    </r>
    <r>
      <rPr>
        <sz val="10"/>
        <rFont val="Noto Sans CJK SC"/>
        <family val="2"/>
      </rPr>
      <t xml:space="preserve">に「高評価」を追加し、登録より先に置いた（従来はどの</t>
    </r>
    <r>
      <rPr>
        <sz val="10"/>
        <rFont val="Arial"/>
        <family val="0"/>
        <charset val="1"/>
      </rPr>
      <t xml:space="preserve">ch</t>
    </r>
    <r>
      <rPr>
        <sz val="10"/>
        <rFont val="Noto Sans CJK SC"/>
        <family val="2"/>
      </rPr>
      <t xml:space="preserve">も登録しか求めていなかった）。</t>
    </r>
  </si>
  <si>
    <r>
      <rPr>
        <sz val="10"/>
        <rFont val="Arial"/>
        <family val="0"/>
        <charset val="1"/>
      </rPr>
      <t xml:space="preserve">2. 2ch-matome </t>
    </r>
    <r>
      <rPr>
        <sz val="10"/>
        <rFont val="Noto Sans CJK SC"/>
        <family val="2"/>
      </rPr>
      <t xml:space="preserve">には</t>
    </r>
    <r>
      <rPr>
        <sz val="10"/>
        <rFont val="Arial"/>
        <family val="0"/>
        <charset val="1"/>
      </rPr>
      <t xml:space="preserve">8</t>
    </r>
    <r>
      <rPr>
        <sz val="10"/>
        <rFont val="Noto Sans CJK SC"/>
        <family val="2"/>
      </rPr>
      <t xml:space="preserve">行目</t>
    </r>
    <r>
      <rPr>
        <sz val="10"/>
        <rFont val="Arial"/>
        <family val="0"/>
        <charset val="1"/>
      </rPr>
      <t xml:space="preserve">CTA</t>
    </r>
    <r>
      <rPr>
        <sz val="10"/>
        <rFont val="Noto Sans CJK SC"/>
        <family val="2"/>
      </rPr>
      <t xml:space="preserve">自体が存在しなかったため新設した。</t>
    </r>
  </si>
  <si>
    <r>
      <rPr>
        <sz val="10"/>
        <rFont val="Arial"/>
        <family val="0"/>
        <charset val="1"/>
      </rPr>
      <t xml:space="preserve">3. daily-science </t>
    </r>
    <r>
      <rPr>
        <sz val="10"/>
        <rFont val="Noto Sans CJK SC"/>
        <family val="2"/>
      </rPr>
      <t xml:space="preserve">の </t>
    </r>
    <r>
      <rPr>
        <sz val="10"/>
        <rFont val="Arial"/>
        <family val="0"/>
        <charset val="1"/>
      </rPr>
      <t xml:space="preserve">total_chars_min </t>
    </r>
    <r>
      <rPr>
        <sz val="10"/>
        <rFont val="Noto Sans CJK SC"/>
        <family val="2"/>
      </rPr>
      <t xml:space="preserve">を </t>
    </r>
    <r>
      <rPr>
        <sz val="10"/>
        <rFont val="Arial"/>
        <family val="0"/>
        <charset val="1"/>
      </rPr>
      <t xml:space="preserve">240→260 </t>
    </r>
    <r>
      <rPr>
        <sz val="10"/>
        <rFont val="Noto Sans CJK SC"/>
        <family val="2"/>
      </rPr>
      <t xml:space="preserve">に戻した（維持率目的の短縮は根拠が消えたため。赤かったテストも解消）。</t>
    </r>
  </si>
  <si>
    <r>
      <rPr>
        <sz val="10"/>
        <rFont val="Arial"/>
        <family val="0"/>
        <charset val="1"/>
      </rPr>
      <t xml:space="preserve">4. pokemon-lab / yokai-watch / daily-science </t>
    </r>
    <r>
      <rPr>
        <sz val="10"/>
        <rFont val="Noto Sans CJK SC"/>
        <family val="2"/>
      </rPr>
      <t xml:space="preserve">のテーマキューを実測上位パターンで補充。</t>
    </r>
  </si>
  <si>
    <t xml:space="preserve">⚠ バックエンドは設定を起動時にメモリへ読み込む。上記が効くには再起動（またはreload）が1回必要。</t>
  </si>
  <si>
    <t xml:space="preserve">■ この結論の統計的な限界（独立検証で指摘）</t>
  </si>
  <si>
    <r>
      <rPr>
        <i val="true"/>
        <sz val="9"/>
        <color rgb="FF666666"/>
        <rFont val="Noto Sans CJK SC"/>
        <family val="2"/>
      </rPr>
      <t xml:space="preserve">・登録イベントが少ない。</t>
    </r>
    <r>
      <rPr>
        <i val="true"/>
        <sz val="9"/>
        <color rgb="FF666666"/>
        <rFont val="Arial"/>
        <family val="0"/>
        <charset val="1"/>
      </rPr>
      <t xml:space="preserve">245</t>
    </r>
    <r>
      <rPr>
        <i val="true"/>
        <sz val="9"/>
        <color rgb="FF666666"/>
        <rFont val="Noto Sans CJK SC"/>
        <family val="2"/>
      </rPr>
      <t xml:space="preserve">本の登録者合計は</t>
    </r>
    <r>
      <rPr>
        <i val="true"/>
        <sz val="9"/>
        <color rgb="FF666666"/>
        <rFont val="Arial"/>
        <family val="0"/>
        <charset val="1"/>
      </rPr>
      <t xml:space="preserve">126</t>
    </r>
    <r>
      <rPr>
        <i val="true"/>
        <sz val="9"/>
        <color rgb="FF666666"/>
        <rFont val="Noto Sans CJK SC"/>
        <family val="2"/>
      </rPr>
      <t xml:space="preserve">人、</t>
    </r>
    <r>
      <rPr>
        <i val="true"/>
        <sz val="9"/>
        <color rgb="FF666666"/>
        <rFont val="Arial"/>
        <family val="0"/>
        <charset val="1"/>
      </rPr>
      <t xml:space="preserve">158</t>
    </r>
    <r>
      <rPr>
        <i val="true"/>
        <sz val="9"/>
        <color rgb="FF666666"/>
        <rFont val="Noto Sans CJK SC"/>
        <family val="2"/>
      </rPr>
      <t xml:space="preserve">本</t>
    </r>
    <r>
      <rPr>
        <i val="true"/>
        <sz val="9"/>
        <color rgb="FF666666"/>
        <rFont val="Arial"/>
        <family val="0"/>
        <charset val="1"/>
      </rPr>
      <t xml:space="preserve">(64.5%)</t>
    </r>
    <r>
      <rPr>
        <i val="true"/>
        <sz val="9"/>
        <color rgb="FF666666"/>
        <rFont val="Noto Sans CJK SC"/>
        <family val="2"/>
      </rPr>
      <t xml:space="preserve">が登録</t>
    </r>
    <r>
      <rPr>
        <i val="true"/>
        <sz val="9"/>
        <color rgb="FF666666"/>
        <rFont val="Arial"/>
        <family val="0"/>
        <charset val="1"/>
      </rPr>
      <t xml:space="preserve">0</t>
    </r>
    <r>
      <rPr>
        <i val="true"/>
        <sz val="9"/>
        <color rgb="FF666666"/>
        <rFont val="Noto Sans CJK SC"/>
        <family val="2"/>
      </rPr>
      <t xml:space="preserve">。</t>
    </r>
    <r>
      <rPr>
        <i val="true"/>
        <sz val="9"/>
        <color rgb="FF666666"/>
        <rFont val="Arial"/>
        <family val="0"/>
        <charset val="1"/>
      </rPr>
      <t xml:space="preserve">ch</t>
    </r>
    <r>
      <rPr>
        <i val="true"/>
        <sz val="9"/>
        <color rgb="FF666666"/>
        <rFont val="Noto Sans CJK SC"/>
        <family val="2"/>
      </rPr>
      <t xml:space="preserve">内ブートストラップでの</t>
    </r>
    <r>
      <rPr>
        <i val="true"/>
        <sz val="9"/>
        <color rgb="FF666666"/>
        <rFont val="Arial"/>
        <family val="0"/>
        <charset val="1"/>
      </rPr>
      <t xml:space="preserve">2.16</t>
    </r>
    <r>
      <rPr>
        <i val="true"/>
        <sz val="9"/>
        <color rgb="FF666666"/>
        <rFont val="Noto Sans CJK SC"/>
        <family val="2"/>
      </rPr>
      <t xml:space="preserve">倍の</t>
    </r>
    <r>
      <rPr>
        <i val="true"/>
        <sz val="9"/>
        <color rgb="FF666666"/>
        <rFont val="Arial"/>
        <family val="0"/>
        <charset val="1"/>
      </rPr>
      <t xml:space="preserve">95%</t>
    </r>
    <r>
      <rPr>
        <i val="true"/>
        <sz val="9"/>
        <color rgb="FF666666"/>
        <rFont val="Noto Sans CJK SC"/>
        <family val="2"/>
      </rPr>
      <t xml:space="preserve">信頼区間は </t>
    </r>
    <r>
      <rPr>
        <i val="true"/>
        <sz val="9"/>
        <color rgb="FF666666"/>
        <rFont val="Arial"/>
        <family val="0"/>
        <charset val="1"/>
      </rPr>
      <t xml:space="preserve">1.43</t>
    </r>
    <r>
      <rPr>
        <i val="true"/>
        <sz val="9"/>
        <color rgb="FF666666"/>
        <rFont val="Noto Sans CJK SC"/>
        <family val="2"/>
      </rPr>
      <t xml:space="preserve">〜</t>
    </r>
    <r>
      <rPr>
        <i val="true"/>
        <sz val="9"/>
        <color rgb="FF666666"/>
        <rFont val="Arial"/>
        <family val="0"/>
        <charset val="1"/>
      </rPr>
      <t xml:space="preserve">3.40 </t>
    </r>
    <r>
      <rPr>
        <i val="true"/>
        <sz val="9"/>
        <color rgb="FF666666"/>
        <rFont val="Noto Sans CJK SC"/>
        <family val="2"/>
      </rPr>
      <t xml:space="preserve">と広い。点推定であって確定値ではない。</t>
    </r>
  </si>
  <si>
    <t xml:space="preserve">・因果の向きは特定できていない。高評価も登録も「気に入った」という同じ潜在変数の別の現れである可能性が高い。両者は分母が同じ再生数のため、比同士の見かけの相関も混入する。</t>
  </si>
  <si>
    <r>
      <rPr>
        <i val="true"/>
        <sz val="9"/>
        <color rgb="FF666666"/>
        <rFont val="Noto Sans CJK SC"/>
        <family val="2"/>
      </rPr>
      <t xml:space="preserve">・</t>
    </r>
    <r>
      <rPr>
        <i val="true"/>
        <sz val="9"/>
        <color rgb="FF666666"/>
        <rFont val="Arial"/>
        <family val="0"/>
        <charset val="1"/>
      </rPr>
      <t xml:space="preserve">scp-lab </t>
    </r>
    <r>
      <rPr>
        <i val="true"/>
        <sz val="9"/>
        <color rgb="FF666666"/>
        <rFont val="Noto Sans CJK SC"/>
        <family val="2"/>
      </rPr>
      <t xml:space="preserve">依存。登録</t>
    </r>
    <r>
      <rPr>
        <i val="true"/>
        <sz val="9"/>
        <color rgb="FF666666"/>
        <rFont val="Arial"/>
        <family val="0"/>
        <charset val="1"/>
      </rPr>
      <t xml:space="preserve">126</t>
    </r>
    <r>
      <rPr>
        <i val="true"/>
        <sz val="9"/>
        <color rgb="FF666666"/>
        <rFont val="Noto Sans CJK SC"/>
        <family val="2"/>
      </rPr>
      <t xml:space="preserve">人のうち</t>
    </r>
    <r>
      <rPr>
        <i val="true"/>
        <sz val="9"/>
        <color rgb="FF666666"/>
        <rFont val="Arial"/>
        <family val="0"/>
        <charset val="1"/>
      </rPr>
      <t xml:space="preserve">67</t>
    </r>
    <r>
      <rPr>
        <i val="true"/>
        <sz val="9"/>
        <color rgb="FF666666"/>
        <rFont val="Noto Sans CJK SC"/>
        <family val="2"/>
      </rPr>
      <t xml:space="preserve">人</t>
    </r>
    <r>
      <rPr>
        <i val="true"/>
        <sz val="9"/>
        <color rgb="FF666666"/>
        <rFont val="Arial"/>
        <family val="0"/>
        <charset val="1"/>
      </rPr>
      <t xml:space="preserve">(53%)</t>
    </r>
    <r>
      <rPr>
        <i val="true"/>
        <sz val="9"/>
        <color rgb="FF666666"/>
        <rFont val="Noto Sans CJK SC"/>
        <family val="2"/>
      </rPr>
      <t xml:space="preserve">が</t>
    </r>
    <r>
      <rPr>
        <i val="true"/>
        <sz val="9"/>
        <color rgb="FF666666"/>
        <rFont val="Arial"/>
        <family val="0"/>
        <charset val="1"/>
      </rPr>
      <t xml:space="preserve">scp-lab</t>
    </r>
    <r>
      <rPr>
        <i val="true"/>
        <sz val="9"/>
        <color rgb="FF666666"/>
        <rFont val="Noto Sans CJK SC"/>
        <family val="2"/>
      </rPr>
      <t xml:space="preserve">単独。</t>
    </r>
    <r>
      <rPr>
        <i val="true"/>
        <sz val="9"/>
        <color rgb="FF666666"/>
        <rFont val="Arial"/>
        <family val="0"/>
        <charset val="1"/>
      </rPr>
      <t xml:space="preserve">scp-lab</t>
    </r>
    <r>
      <rPr>
        <i val="true"/>
        <sz val="9"/>
        <color rgb="FF666666"/>
        <rFont val="Noto Sans CJK SC"/>
        <family val="2"/>
      </rPr>
      <t xml:space="preserve">を除くと比は</t>
    </r>
    <r>
      <rPr>
        <i val="true"/>
        <sz val="9"/>
        <color rgb="FF666666"/>
        <rFont val="Arial"/>
        <family val="0"/>
        <charset val="1"/>
      </rPr>
      <t xml:space="preserve">1.79</t>
    </r>
    <r>
      <rPr>
        <i val="true"/>
        <sz val="9"/>
        <color rgb="FF666666"/>
        <rFont val="Noto Sans CJK SC"/>
        <family val="2"/>
      </rPr>
      <t xml:space="preserve">、</t>
    </r>
    <r>
      <rPr>
        <i val="true"/>
        <sz val="9"/>
        <color rgb="FF666666"/>
        <rFont val="Arial"/>
        <family val="0"/>
        <charset val="1"/>
      </rPr>
      <t xml:space="preserve">pokemon-lab</t>
    </r>
    <r>
      <rPr>
        <i val="true"/>
        <sz val="9"/>
        <color rgb="FF666666"/>
        <rFont val="Noto Sans CJK SC"/>
        <family val="2"/>
      </rPr>
      <t xml:space="preserve">単独では</t>
    </r>
    <r>
      <rPr>
        <i val="true"/>
        <sz val="9"/>
        <color rgb="FF666666"/>
        <rFont val="Arial"/>
        <family val="0"/>
        <charset val="1"/>
      </rPr>
      <t xml:space="preserve">0.84</t>
    </r>
    <r>
      <rPr>
        <i val="true"/>
        <sz val="9"/>
        <color rgb="FF666666"/>
        <rFont val="Noto Sans CJK SC"/>
        <family val="2"/>
      </rPr>
      <t xml:space="preserve">と逆転する。</t>
    </r>
  </si>
  <si>
    <r>
      <rPr>
        <i val="true"/>
        <sz val="9"/>
        <color rgb="FF666666"/>
        <rFont val="Noto Sans CJK SC"/>
        <family val="2"/>
      </rPr>
      <t xml:space="preserve">・維持率は「否定」ではなく「検出できていない」。</t>
    </r>
    <r>
      <rPr>
        <i val="true"/>
        <sz val="9"/>
        <color rgb="FF666666"/>
        <rFont val="Arial"/>
        <family val="0"/>
        <charset val="1"/>
      </rPr>
      <t xml:space="preserve">ch</t>
    </r>
    <r>
      <rPr>
        <i val="true"/>
        <sz val="9"/>
        <color rgb="FF666666"/>
        <rFont val="Noto Sans CJK SC"/>
        <family val="2"/>
      </rPr>
      <t xml:space="preserve">内ラベルシャッフルの並べ替え検定で 高評価率 </t>
    </r>
    <r>
      <rPr>
        <i val="true"/>
        <sz val="9"/>
        <color rgb="FF666666"/>
        <rFont val="Arial"/>
        <family val="0"/>
        <charset val="1"/>
      </rPr>
      <t xml:space="preserve">p=0.0005 </t>
    </r>
    <r>
      <rPr>
        <i val="true"/>
        <sz val="9"/>
        <color rgb="FF666666"/>
        <rFont val="Noto Sans CJK SC"/>
        <family val="2"/>
      </rPr>
      <t xml:space="preserve">に対し 維持率 </t>
    </r>
    <r>
      <rPr>
        <i val="true"/>
        <sz val="9"/>
        <color rgb="FF666666"/>
        <rFont val="Arial"/>
        <family val="0"/>
        <charset val="1"/>
      </rPr>
      <t xml:space="preserve">p=0.23</t>
    </r>
    <r>
      <rPr>
        <i val="true"/>
        <sz val="9"/>
        <color rgb="FF666666"/>
        <rFont val="Noto Sans CJK SC"/>
        <family val="2"/>
      </rPr>
      <t xml:space="preserve">。棄却はしていない。</t>
    </r>
  </si>
  <si>
    <r>
      <rPr>
        <b val="true"/>
        <sz val="10"/>
        <color rgb="FFC00000"/>
        <rFont val="Noto Sans CJK SC"/>
        <family val="2"/>
      </rPr>
      <t xml:space="preserve">→ 本日の判断は「維持率への投資停止」ではなく「主指標を高評価率に移し、維持率は監視項目に降格」。効果は</t>
    </r>
    <r>
      <rPr>
        <b val="true"/>
        <sz val="10"/>
        <color rgb="FFC00000"/>
        <rFont val="Arial"/>
        <family val="0"/>
        <charset val="1"/>
      </rPr>
      <t xml:space="preserve">08-31</t>
    </r>
    <r>
      <rPr>
        <b val="true"/>
        <sz val="10"/>
        <color rgb="FFC00000"/>
        <rFont val="Noto Sans CJK SC"/>
        <family val="2"/>
      </rPr>
      <t xml:space="preserve">の実測で判定する。</t>
    </r>
  </si>
  <si>
    <t xml:space="preserve">チャンネル別詳細（成熟動画: 公開6日以上 かつ 再生300以上）</t>
  </si>
  <si>
    <t xml:space="preserve">チャンネル名</t>
  </si>
  <si>
    <t xml:space="preserve">公開総数</t>
  </si>
  <si>
    <t xml:space="preserve">分析対象</t>
  </si>
  <si>
    <t xml:space="preserve">再生中央値</t>
  </si>
  <si>
    <t xml:space="preserve">維持率中央値%</t>
  </si>
  <si>
    <t xml:space="preserve">高評価率中央値%</t>
  </si>
  <si>
    <t xml:space="preserve">登録計</t>
  </si>
  <si>
    <t xml:space="preserve">コメント/1000再生</t>
  </si>
  <si>
    <t xml:space="preserve">実CTR%</t>
  </si>
  <si>
    <t xml:space="preserve">ゆっくり異常存在SCPラボ</t>
  </si>
  <si>
    <t xml:space="preserve">ゆっくり1分科学</t>
  </si>
  <si>
    <t xml:space="preserve">ゆっくりポケモン研究所</t>
  </si>
  <si>
    <t xml:space="preserve">ゆっくり妖怪ファイル</t>
  </si>
  <si>
    <t xml:space="preserve">ゆっくり2chまとめ</t>
  </si>
  <si>
    <t xml:space="preserve">注: 実CTR は video_reach_daily の impressions/clicks 集計（08-10以降）。ショートはフィード視聴がインプレッションに計上されないため実数は過少で、chの相対比較にのみ使うこと。</t>
  </si>
  <si>
    <t xml:space="preserve">■ 高評価率でch内二分 → 登録転換（チャンネル効果を除去した検証）</t>
  </si>
  <si>
    <t xml:space="preserve">上位n</t>
  </si>
  <si>
    <t xml:space="preserve">上位 登録/1000再生</t>
  </si>
  <si>
    <t xml:space="preserve">下位n</t>
  </si>
  <si>
    <t xml:space="preserve">下位 登録/1000再生</t>
  </si>
  <si>
    <t xml:space="preserve">倍率</t>
  </si>
  <si>
    <r>
      <rPr>
        <i val="true"/>
        <sz val="9"/>
        <color rgb="FF666666"/>
        <rFont val="Arial"/>
        <family val="0"/>
        <charset val="1"/>
      </rPr>
      <t xml:space="preserve">pokemon-lab </t>
    </r>
    <r>
      <rPr>
        <i val="true"/>
        <sz val="9"/>
        <color rgb="FF666666"/>
        <rFont val="Noto Sans CJK SC"/>
        <family val="2"/>
      </rPr>
      <t xml:space="preserve">のみ逆方向だが </t>
    </r>
    <r>
      <rPr>
        <i val="true"/>
        <sz val="9"/>
        <color rgb="FF666666"/>
        <rFont val="Arial"/>
        <family val="0"/>
        <charset val="1"/>
      </rPr>
      <t xml:space="preserve">n=20 </t>
    </r>
    <r>
      <rPr>
        <i val="true"/>
        <sz val="9"/>
        <color rgb="FF666666"/>
        <rFont val="Noto Sans CJK SC"/>
        <family val="2"/>
      </rPr>
      <t xml:space="preserve">と小さい。他</t>
    </r>
    <r>
      <rPr>
        <i val="true"/>
        <sz val="9"/>
        <color rgb="FF666666"/>
        <rFont val="Arial"/>
        <family val="0"/>
        <charset val="1"/>
      </rPr>
      <t xml:space="preserve">4ch</t>
    </r>
    <r>
      <rPr>
        <i val="true"/>
        <sz val="9"/>
        <color rgb="FF666666"/>
        <rFont val="Noto Sans CJK SC"/>
        <family val="2"/>
      </rPr>
      <t xml:space="preserve">は一貫して上位群の登録転換が高い。</t>
    </r>
  </si>
  <si>
    <t xml:space="preserve">動画別パフォーマンス（最新スナップショット / 再生1以上）</t>
  </si>
  <si>
    <t xml:space="preserve">「成熟」=1 は 公開から6日以上経過かつ再生300以上。維持率は公開6日目まで上昇し続けるため、比較はこの列が1の行だけで行うこと。</t>
  </si>
  <si>
    <t xml:space="preserve">公開日</t>
  </si>
  <si>
    <t xml:space="preserve">経過日</t>
  </si>
  <si>
    <t xml:space="preserve">タイトル</t>
  </si>
  <si>
    <t xml:space="preserve">再生数</t>
  </si>
  <si>
    <t xml:space="preserve">維持率%</t>
  </si>
  <si>
    <t xml:space="preserve">高評価</t>
  </si>
  <si>
    <t xml:space="preserve">コメント</t>
  </si>
  <si>
    <t xml:space="preserve">登録</t>
  </si>
  <si>
    <t xml:space="preserve">高評価率%</t>
  </si>
  <si>
    <t xml:space="preserve">成熟</t>
  </si>
  <si>
    <t xml:space="preserve">2026-08-09</t>
  </si>
  <si>
    <r>
      <rPr>
        <sz val="10"/>
        <rFont val="Arial"/>
        <family val="0"/>
        <charset val="1"/>
      </rPr>
      <t xml:space="preserve">30</t>
    </r>
    <r>
      <rPr>
        <sz val="10"/>
        <rFont val="Noto Sans CJK SC"/>
        <family val="2"/>
      </rPr>
      <t xml:space="preserve">秒スレまとめ：残業代はやる気で払う</t>
    </r>
    <r>
      <rPr>
        <sz val="10"/>
        <rFont val="Arial"/>
        <family val="0"/>
        <charset val="1"/>
      </rPr>
      <t xml:space="preserve">#</t>
    </r>
    <r>
      <rPr>
        <sz val="10"/>
        <rFont val="Noto Sans CJK SC"/>
        <family val="2"/>
      </rPr>
      <t xml:space="preserve">上司「残業代はやる気で払う」発言から、なぜか全員消えた職場の末路 </t>
    </r>
    <r>
      <rPr>
        <sz val="10"/>
        <rFont val="Arial"/>
        <family val="0"/>
        <charset val="1"/>
      </rPr>
      <t xml:space="preserve">#shorts #</t>
    </r>
    <r>
      <rPr>
        <sz val="10"/>
        <rFont val="Noto Sans CJK SC"/>
        <family val="2"/>
      </rPr>
      <t xml:space="preserve">ゆっくり解説</t>
    </r>
  </si>
  <si>
    <t xml:space="preserve">2026-08-13</t>
  </si>
  <si>
    <t xml:space="preserve">コンビニで一番いらん商品あげてけ【ショート】</t>
  </si>
  <si>
    <t xml:space="preserve">ワイの今日の昼飯を当てるスレw【ショート】</t>
  </si>
  <si>
    <t xml:space="preserve">2026-08-14</t>
  </si>
  <si>
    <t xml:space="preserve">なんかPCの画面チカチカするんやが【ショート】</t>
  </si>
  <si>
    <t xml:space="preserve">彼女の部屋でヤバい物あげてけw【ショート】</t>
  </si>
  <si>
    <t xml:space="preserve">2026-08-15</t>
  </si>
  <si>
    <t xml:space="preserve">ワイ、彼女いない歴＝年齢やけど質問ある？【ショート】</t>
  </si>
  <si>
    <t xml:space="preserve">ワイのキーボードの変な癖あげてけw【ショート】</t>
  </si>
  <si>
    <t xml:space="preserve">2026-08-16</t>
  </si>
  <si>
    <t xml:space="preserve">なんかスマホの充電だけ遅いんやが【ショート】</t>
  </si>
  <si>
    <t xml:space="preserve">2026-08-17</t>
  </si>
  <si>
    <t xml:space="preserve">後輩「敬語って課金制ですよね？」→翌朝、全員が黙った #shorts #2ch #スカッと</t>
  </si>
  <si>
    <t xml:space="preserve">実際には存在しないけどありそうな県名あげてけ【ショート】</t>
  </si>
  <si>
    <t xml:space="preserve">飲み会で絶対見られたくない通知あげてけw【ショート】</t>
  </si>
  <si>
    <t xml:space="preserve">ワイ、AIに変な質問する係やけど質問ある？w【ショート】</t>
  </si>
  <si>
    <t xml:space="preserve">絶対に二度見される部屋着あげてけw【ショート】</t>
  </si>
  <si>
    <t xml:space="preserve">2026-08-18</t>
  </si>
  <si>
    <t xml:space="preserve">なんか靴下だけ消えるんやがw【ショート】</t>
  </si>
  <si>
    <t xml:space="preserve">存在しないゲームの迷惑機能あげてけw【ショート】</t>
  </si>
  <si>
    <t xml:space="preserve">2026-08-19</t>
  </si>
  <si>
    <r>
      <rPr>
        <sz val="10"/>
        <rFont val="Arial"/>
        <family val="0"/>
        <charset val="1"/>
      </rPr>
      <t xml:space="preserve">PC</t>
    </r>
    <r>
      <rPr>
        <sz val="10"/>
        <rFont val="Noto Sans CJK SC"/>
        <family val="2"/>
      </rPr>
      <t xml:space="preserve">パーツ到着時、なぜ箱だけ先に届くのか？【ショート】</t>
    </r>
  </si>
  <si>
    <t xml:space="preserve">なぜケンタッキー月見は3秒で秋の給料日になるのか、食べた感想あげてけw【ショート】</t>
  </si>
  <si>
    <t xml:space="preserve">2026-08-20</t>
  </si>
  <si>
    <t xml:space="preserve">ワイ、アジア大会珍プレー歴0年やけど質問ある？w🤣【ショート】</t>
  </si>
  <si>
    <t xml:space="preserve">ちいかわチョコサプ、なぜ中身が攻めすぎなのか？3秒予想してみたら草【ショート】</t>
  </si>
  <si>
    <t xml:space="preserve">2026-08-21</t>
  </si>
  <si>
    <r>
      <rPr>
        <sz val="10"/>
        <rFont val="Arial"/>
        <family val="0"/>
        <charset val="1"/>
      </rPr>
      <t xml:space="preserve">3</t>
    </r>
    <r>
      <rPr>
        <sz val="10"/>
        <rFont val="Noto Sans CJK SC"/>
        <family val="2"/>
      </rPr>
      <t xml:space="preserve">秒で考えろ！この戦闘機の名前が親戚回避型な理由とは？【ショート】</t>
    </r>
  </si>
  <si>
    <t xml:space="preserve">2026-06-25</t>
  </si>
  <si>
    <t xml:space="preserve">冷蔵庫の上段、なぜか全然冷えてない…その『不思議な理由』が意外すぎた【ショート】</t>
  </si>
  <si>
    <t xml:space="preserve">なぜ閉まる寸前でも止まるの？センサーの『待機設計』が凄すぎた#ドアが閉まる直前に飛び込んでも間に合う…エレベーターが『あなた』を待つ本当の理由 #shorts #ゆっくり解説</t>
  </si>
  <si>
    <t xml:space="preserve">2026-06-26</t>
  </si>
  <si>
    <t xml:space="preserve">なぜ端っこだけ熱い？電子レンジの『中心が冷たい』現象、実は物理の罠だった【ショート】</t>
  </si>
  <si>
    <t xml:space="preserve">その色、本当に『青』？脳が見ている色と言葉がズレてる#信号の『青』、実は緑なのになぜ『青』と呼ぶのか？日本語だけに起きた不思議な色の歴史 #shorts #ゆっくり解説</t>
  </si>
  <si>
    <t xml:space="preserve">信号は『緑』なのになぜ『青』と呼ぶ？#信号の『青』が実は緑なのに、なぜ日本人だけ青と呼び続けるのか？ #shorts #ゆっくり解説</t>
  </si>
  <si>
    <t xml:space="preserve">2026-06-27</t>
  </si>
  <si>
    <t xml:space="preserve">本を読むと眠くなるのは集中できてる証拠だった!?#本を読むと必ず眠くなる人へ — 実はあなたの脳が『ある状態』に入っているだけかもしれない #shorts #ゆっくり解説</t>
  </si>
  <si>
    <t xml:space="preserve">あなたの隣の人があくびをした。うつった？うつらなかった？——その0.3秒の差が「ある能力」の高さを丸裸にする【ショート】</t>
  </si>
  <si>
    <t xml:space="preserve">新しいノートを前にするとなぜか手が止まる——脳が『もったいない』と叫ぶ本当の理由【ショート】</t>
  </si>
  <si>
    <t xml:space="preserve">なぜ本だけで眠くなる？集中してるのに睡魔が来る理由#本を読むと必ず眠くなる人が知らない、脳の『省エネモード』の正体 #shorts #ゆっくり解説</t>
  </si>
  <si>
    <t xml:space="preserve">2026-06-28</t>
  </si>
  <si>
    <t xml:space="preserve">なぜ手だけ汗が出るの？緊張したとき『そこだけ』が濡れる本当の理由【ショート】</t>
  </si>
  <si>
    <t xml:space="preserve">なぜ隣の人は平気なのに自分だけ凍えているのか？#同じ部屋にいるのに自分だけ寒い——その『体感温度のズレ』を生み出す5つの正体 #shorts #ゆっくり解説</t>
  </si>
  <si>
    <t xml:space="preserve">蛍光灯の下だと肌が青白く見える。あれ、実は目が『騙されている』だけって知ってた？【ショート】</t>
  </si>
  <si>
    <t xml:space="preserve">なぜ隣の人は平気なのに自分だけ震えているのか？#同じ部屋なのに自分だけ寒い…その『差』を生み出している5つの隠れた正体 #shorts #ゆっくり解説</t>
  </si>
  <si>
    <t xml:space="preserve">2026-06-29</t>
  </si>
  <si>
    <t xml:space="preserve">くしゃみ中、なぜか目が絶対に開けられない——脳が強制的にシャットダウンする本当の理由【ショート】</t>
  </si>
  <si>
    <t xml:space="preserve">寝落ち直前に体がビクッとするのは、実は脳が『死にかけた』と勘違いしているから？【ショート】</t>
  </si>
  <si>
    <t xml:space="preserve">寝てるのに体がビクッ！脳が起こす0.1秒の誤作動#寝落ち直前に体がビクッとなるのは、実は脳が『ある勘違い』をしているせいだった #shorts #ゆっくり解説</t>
  </si>
  <si>
    <t xml:space="preserve">寝てるのになぜ体が跳ねる？脳が起こす0.1秒の暴走#寝落ちの瞬間に体がビクッ…あの『謎の震え』の正体が怖すぎる #shorts #ゆっくり解説</t>
  </si>
  <si>
    <t xml:space="preserve">2026-06-30</t>
  </si>
  <si>
    <t xml:space="preserve">録音した自分の声、別人みたいで恥ずかしくなった経験ない？実は骨が音を変えている——耳の構造に隠された驚きの仕組み#自分の声って録音するとなぜあんなに変なの？耳の中で起きていること #shorts #ゆ</t>
  </si>
  <si>
    <t xml:space="preserve">継ぎ目ゼロなのになぜ鳴る？音の発生源が変わっていた#毎日聞いてるのに誰も知らない『ガタンゴトン』の正体——レールに継ぎ目がないのになぜ鳴るのか？ #shorts #ゆっくり解説</t>
  </si>
  <si>
    <t xml:space="preserve">2026-07-01</t>
  </si>
  <si>
    <t xml:space="preserve">録音の声、なぜか気持ち悪い…骨が音を変えていた#録音した自分の声が「別人みたい」に聞こえるのは、なぜか耳の中だけの話じゃなかった #shorts #ゆっくり解説</t>
  </si>
  <si>
    <t xml:space="preserve">お腹ペコペコなのに、いざ食べ始めたら急に食欲が消える——あの『裏切り感』の正体、実は脳と胃が別々に動いてるせいだった【ショート】</t>
  </si>
  <si>
    <t xml:space="preserve">鏡の中の自分、なぜ『左右』だけ反転して見えるの？実は鏡は何も反転していなかった【ショート】</t>
  </si>
  <si>
    <t xml:space="preserve">録音で聞く自分の声なぜか別人に聞こえる#なぜ録音の自分の声は『別人』に聞こえるのか？耳の中で起きていること #shorts #ゆっくり解説</t>
  </si>
  <si>
    <t xml:space="preserve">2026-07-02</t>
  </si>
  <si>
    <t xml:space="preserve">ブルーライトより100倍怖い体内時計『崩壊』の正体#深夜スマホで翌朝ぼんやりする本当の理由、ブルーライトじゃなかった #shorts #ゆっくり解説</t>
  </si>
  <si>
    <t xml:space="preserve">えっ、ブルーライトだけじゃない？スマホが体内時計を狂わせる理由#深夜のスマホ、翌朝のぼんやりはなぜ？実はブルーライトより怖い『概日リズム崩壊』の正体 #shorts #ゆっくり解説</t>
  </si>
  <si>
    <t xml:space="preserve">なぜパソコンのファンは突然うるさくなるのか？CPUが『全力疾走』を始める瞬間に起きていること【ショート】</t>
  </si>
  <si>
    <t xml:space="preserve">2026-07-03</t>
  </si>
  <si>
    <t xml:space="preserve">録音の声がキモい理由骨が音を変えていた#自分の声が録音だと気持ち悪く聞こえる…あの違和感の正体、実は耳の中にあった #shorts #ゆっくり解説</t>
  </si>
  <si>
    <t xml:space="preserve">録音の自分の声、別人すぎる問題実は97%の人が同じ衝撃を受けている#なぜ録音した自分の声だけ別人みたいに聞こえるの？耳の中で起きていること #shorts #ゆっくり解説</t>
  </si>
  <si>
    <t xml:space="preserve">同じ空を見ているのに、あなたと私で『青』が違う色に見えているかもしれない理由【ショート】</t>
  </si>
  <si>
    <t xml:space="preserve">夢を忘れる理由、実は脳が『意図的に』消している？99%が知らない睡眠中の脳の秘密#朝起きると夢を忘れているのに、なぜ夢を見た『感覚』だけは残っているのか #shorts #ゆっくり解説</t>
  </si>
  <si>
    <t xml:space="preserve">2026-07-05</t>
  </si>
  <si>
    <t xml:space="preserve">録音の声＝別人に聞こえる理由骨が音を変えていた！#なぜ録音の自分の声だけ「別人」に聞こえるのか？耳の中で起きていること #shorts #ゆっくり解説</t>
  </si>
  <si>
    <t xml:space="preserve">自分の声、録音で聞くと変じゃない？実は耳の『ある仕組み』が原因なんです。#なぜ自分の声だけ？録音で変に聞こえる本当の理由 #shorts #ゆっくり解説</t>
  </si>
  <si>
    <t xml:space="preserve">体調が悪いときだけ甘いものが異常に食べたくなるのは、なぜか？【ショート】</t>
  </si>
  <si>
    <t xml:space="preserve">2026-07-06</t>
  </si>
  <si>
    <t xml:space="preserve">実は、骨伝導がカギなんです！録音で声が変わる理由を解明！#なぜ録音した自分の声は別人のように聞こえるのか？音の裏にある驚きの科学 #shorts #ゆっくり解説</t>
  </si>
  <si>
    <t xml:space="preserve">2026-07-07</t>
  </si>
  <si>
    <t xml:space="preserve">録音した自分の声を聞いて驚いたことない？実は骨伝導が原因なんだ！#録音した自分の声、なぜこんなに変？骨伝導が見せる意外すぎる真実 #shorts #ゆっくり解説</t>
  </si>
  <si>
    <t xml:space="preserve">録音の声が別人すぎる理由骨伝導の謎を解明！#なぜ録音の声は『別人』に聞こえるのか？実は骨伝導の意外すぎる仕組みが原因！ #shorts #ゆっくり解説</t>
  </si>
  <si>
    <t xml:space="preserve">お風呂上がりに眠くなるのって、実は体が『わざと』冷えようとしているせいだった【ショート】</t>
  </si>
  <si>
    <t xml:space="preserve">2026-07-08</t>
  </si>
  <si>
    <t xml:space="preserve">耳鳴りの本当の正体衝撃の耳の構造#なぜそれが聞こえる？耳鳴りの衝撃的理由と実は知らない耳の構造 #shorts #ゆっくり解説</t>
  </si>
  <si>
    <t xml:space="preserve">静寂のはずなのに…耳の中で音が生まれている#なぜ静かな部屋でだけ耳鳴りがするのか？内耳で起きている『あの音』の正体 #shorts #ゆっくり解説</t>
  </si>
  <si>
    <t xml:space="preserve">なぜ『あの日』の記憶だけ鮮明に残るのか？感情が脳に刻む痕跡の正体【ショート】</t>
  </si>
  <si>
    <t xml:space="preserve">2026-07-09</t>
  </si>
  <si>
    <t xml:space="preserve">なぜあの日の痛みだけ、何年経っても忘れられないのか？【ショート】</t>
  </si>
  <si>
    <t xml:space="preserve">なぜ夢を見ているとき目が動く？知られざる『目の謎』【ショート】</t>
  </si>
  <si>
    <t xml:space="preserve">録音の声＝別人!?骨が音を変えていた#なぜ録音した自分の声だけ別人みたいに聞こえるのか？実は99%が知らない耳の秘密 #shorts #ゆっくり解説</t>
  </si>
  <si>
    <t xml:space="preserve">録音の声が「別人」に聞こえる本当の理由実は骨が音を変えていた#なぜ録音した自分の声はあんなに気持ち悪いのか？実は99%の人が知らない耳の二重構造の正体 #shorts #ゆっくり解説</t>
  </si>
  <si>
    <t xml:space="preserve">2026-07-10</t>
  </si>
  <si>
    <t xml:space="preserve">自分の声が録音だと別人に聞こえる？実は骨伝導が原因だった！#なぜ自分の声は録音で別人に聞こえるのか？意外すぎる理由 #shorts #ゆっくり解説</t>
  </si>
  <si>
    <t xml:space="preserve">録音の声が違う？それは骨伝導が原因！#録音した声が別人に聞こえる理由、実は骨伝導が原因だった！ #shorts #ゆっくり解説</t>
  </si>
  <si>
    <t xml:space="preserve">なぜか不自然？視覚が騙される瞬間の正体とは【ショート】</t>
  </si>
  <si>
    <t xml:space="preserve">2026-07-11</t>
  </si>
  <si>
    <t xml:space="preserve">なぜ夢を見ると疲れが残るのか？脳の意外な『働きすぎ』の実態【ショート】</t>
  </si>
  <si>
    <t xml:space="preserve">録音で声が変わる理由とは？骨が関係するって知ってた？#録音した自分の声が変に聞こえる本当の理由、実は骨の作用だった！ #shorts #ゆっくり解説</t>
  </si>
  <si>
    <t xml:space="preserve">録音の声＝本当の自分の声低音が約10dB消える！#録音した自分の声が別人みたいに聞こえる本当の理由——なぜか耳だけが知らない「もう一つの自分の声」 #shorts #ゆっくり解説</t>
  </si>
  <si>
    <t xml:space="preserve">2026-07-12</t>
  </si>
  <si>
    <t xml:space="preserve">かゆい場所が選ばれてる!?#突然のかゆみ、実は『皮膚の反乱』が起こっていた!? #なぜかかる意外な理由 #shorts #ゆっくり解説</t>
  </si>
  <si>
    <t xml:space="preserve">何もしてないのに…急にかゆくなる『本当の理由』#なぜ何もしていないのに体が急にかゆくなるのか？ — 皮膚の『かゆみセンサー』の正体 #shorts #ゆっくり解説</t>
  </si>
  <si>
    <t xml:space="preserve">2026-07-13</t>
  </si>
  <si>
    <t xml:space="preserve">耳が痛いと音が…聞こえづらい理由は？#なぜ耳が痛いと音が聞こえにくくなるのか？— 耳の構造と音の伝わり方の秘密 #shorts #ゆっくり解説</t>
  </si>
  <si>
    <t xml:space="preserve">耳が痛いとき、音が遠くなる理由99%が知らない『内耳』の仕組み#耳が痛いと音が聞こえにくくなるのは『内耳』のせいだった——鼓膜・耳小骨・蝸牛、3段階の崩壊を知ってる？ #shorts #ゆっくり解説</t>
  </si>
  <si>
    <t xml:space="preserve">なぜ疲れると体が冷えるのか？知られざるメカニズムが判明【ショート】</t>
  </si>
  <si>
    <t xml:space="preserve">2026-07-14</t>
  </si>
  <si>
    <t xml:space="preserve">食後の眠気、実は脳への血流が食事直後に最大30%も減っていた99%が知らない「消化と睡眠」の驚くべき連鎖メカニズム#食後に必ず眠くなるのはなぜ？血糖値だけじゃない、体が隠している本当の理由 #shor</t>
  </si>
  <si>
    <t xml:space="preserve">体温1℃で気分が変わる？99%が知らない脳と体温の秘密#体温が1℃下がると「なぜか気分まで沈む」——脳と体温をつなぐ本当の仕組み #shorts #ゆっくり解説</t>
  </si>
  <si>
    <t xml:space="preserve">2026-07-15</t>
  </si>
  <si>
    <t xml:space="preserve">辛いものを食べると汗が出る、その『本当の理由』が脳の誤作動だった #カプサイシン #TRPV1受容体の罠【ショート】</t>
  </si>
  <si>
    <t xml:space="preserve">走るたびに刺さる「あの痛み」の正体98%のランナーが誤解している横腹痛の真実#走ると横腹が痛くなる「本当の原因」、脾臓でも筋肉でもなかった #横隔膜 #運動科学 #shorts #ゆっくり解説</t>
  </si>
  <si>
    <t xml:space="preserve">知らない方が幸せだったかも実は耳が特別な共鳴をしている!#なぜか耳を壊す!? 黒板の音が耐えられない科学的理由 #shorts #ゆっくり解説</t>
  </si>
  <si>
    <t xml:space="preserve">2026-07-16</t>
  </si>
  <si>
    <t xml:space="preserve">くしゃみの瞬間、脳は『緊急モード』に入っていた時速160kmの爆風を体が生み出す理由#くしゃみのとき、なぜか全身が震える——その0.5秒に体で何が起きているのか？ #shorts #ゆっくり解説</t>
  </si>
  <si>
    <t xml:space="preserve">食事中に声を出すと、なぜか体が勝手に『恥ずかしい』と感じる本当の理由【ショート】</t>
  </si>
  <si>
    <t xml:space="preserve">髪を切っても痛くないのは死んだ細胞のせいだった！？#なぜ髪の毛だけが痛くない？意外すぎる人体の秘密 #髪の毛の謎 #shorts #ゆっくり解説</t>
  </si>
  <si>
    <t xml:space="preserve">2026-07-17</t>
  </si>
  <si>
    <t xml:space="preserve">夢の「数時間」は現実では何秒？脳が作り出す偽の時間の正体#夢の中でいた「あの数時間」、実は現実では何秒だったのか？99%が誤解している脳の時間感覚 #shorts #ゆっくり解説</t>
  </si>
  <si>
    <t xml:space="preserve">くしゃみ1回で時速160kmの爆風が体内を駆け抜けるその0.5秒間に脳と体に何が起きているのか？#くしゃみの後、なぜか体がすっきりする「本当の理由」が99%に知られていない件 #shorts #ゆっく</t>
  </si>
  <si>
    <t xml:space="preserve">赤ちゃんが笑うとき、脳の中で何が起きているのか？実は99%の大人が知らない「笑い」の正体【ショート】</t>
  </si>
  <si>
    <t xml:space="preserve">2026-07-18</t>
  </si>
  <si>
    <r>
      <rPr>
        <sz val="10"/>
        <rFont val="Arial"/>
        <family val="0"/>
        <charset val="1"/>
      </rPr>
      <t xml:space="preserve">99%</t>
    </r>
    <r>
      <rPr>
        <sz val="10"/>
        <rFont val="Noto Sans CJK SC"/>
        <family val="2"/>
      </rPr>
      <t xml:space="preserve">が知らないアイスクリーム頭痛の発動条件</t>
    </r>
    <r>
      <rPr>
        <sz val="10"/>
        <rFont val="Arial"/>
        <family val="0"/>
        <charset val="1"/>
      </rPr>
      <t xml:space="preserve">#</t>
    </r>
    <r>
      <rPr>
        <sz val="10"/>
        <rFont val="Noto Sans CJK SC"/>
        <family val="2"/>
      </rPr>
      <t xml:space="preserve">かき氷で頭がキーンとならない人がいる、その『差』の正体 </t>
    </r>
    <r>
      <rPr>
        <sz val="10"/>
        <rFont val="Arial"/>
        <family val="0"/>
        <charset val="1"/>
      </rPr>
      <t xml:space="preserve">#shorts #</t>
    </r>
    <r>
      <rPr>
        <sz val="10"/>
        <rFont val="Noto Sans CJK SC"/>
        <family val="2"/>
      </rPr>
      <t xml:space="preserve">ゆっくり解説</t>
    </r>
  </si>
  <si>
    <r>
      <rPr>
        <sz val="10"/>
        <rFont val="Arial"/>
        <family val="0"/>
        <charset val="1"/>
      </rPr>
      <t xml:space="preserve">99%</t>
    </r>
    <r>
      <rPr>
        <sz val="10"/>
        <rFont val="Noto Sans CJK SC"/>
        <family val="2"/>
      </rPr>
      <t xml:space="preserve">が勘違いしてるあの『鉄の味』の正体</t>
    </r>
    <r>
      <rPr>
        <sz val="10"/>
        <rFont val="Arial"/>
        <family val="0"/>
        <charset val="1"/>
      </rPr>
      <t xml:space="preserve">#</t>
    </r>
    <r>
      <rPr>
        <sz val="10"/>
        <rFont val="Noto Sans CJK SC"/>
        <family val="2"/>
      </rPr>
      <t xml:space="preserve">ステンレスのスプーンを舐めると鉄の味がする…でも実はスプーンから金属は</t>
    </r>
    <r>
      <rPr>
        <sz val="10"/>
        <rFont val="Arial"/>
        <family val="0"/>
        <charset val="1"/>
      </rPr>
      <t xml:space="preserve">1</t>
    </r>
    <r>
      <rPr>
        <sz val="10"/>
        <rFont val="Noto Sans CJK SC"/>
        <family val="2"/>
      </rPr>
      <t xml:space="preserve">ミリも溶け出していない </t>
    </r>
    <r>
      <rPr>
        <sz val="10"/>
        <rFont val="Arial"/>
        <family val="0"/>
        <charset val="1"/>
      </rPr>
      <t xml:space="preserve">#shorts #</t>
    </r>
    <r>
      <rPr>
        <sz val="10"/>
        <rFont val="Noto Sans CJK SC"/>
        <family val="2"/>
      </rPr>
      <t xml:space="preserve">ゆっくり解説</t>
    </r>
  </si>
  <si>
    <t xml:space="preserve">冬だけバチッとくるのは実は99%が誤解してる、湿度30%を境に電子の逃げ道が消える話【ショート】</t>
  </si>
  <si>
    <t xml:space="preserve">2026-07-19</t>
  </si>
  <si>
    <t xml:space="preserve">痛い記憶だけ、なぜか一生消えない——脳が『あの痛み』を特別扱いする本当の理由【ショート】</t>
  </si>
  <si>
    <t xml:space="preserve">実は運動で脳内化学が変わる!? #なぜ体を動かすと気分が良くなるの？ #ゆっくり解説【ショート】</t>
  </si>
  <si>
    <t xml:space="preserve">砂糖1gが脳を動かすその快感、実は罠だった？#甘いもの、食べると「なぜか」元気が出る #脳が隠してた本当の理由とは？ #shorts #ゆっくり解説</t>
  </si>
  <si>
    <t xml:space="preserve">視線を向けた瞬間、消える目の端だけが知っている#目の端にいた『それ』が正面を向いたら消えた #なぜ視線を動かすだけで見えなくなるのか？ #shorts #ゆっくり解説</t>
  </si>
  <si>
    <t xml:space="preserve">2026-07-20</t>
  </si>
  <si>
    <t xml:space="preserve">夢の中、なぜか現実味があるのは?99%が知らない脳のトリック!#夢の中がリアルすぎる理由、99%が知らない脳の不思議 #shorts #ゆっくり解説</t>
  </si>
  <si>
    <t xml:space="preserve">視覚がすべてじゃない?驚くべき目のメカニズム#なぜ目の前の映像がぼやけるのか？99%が知らない目の秘密 #shorts #ゆっくり解説</t>
  </si>
  <si>
    <t xml:space="preserve">2026-07-23</t>
  </si>
  <si>
    <t xml:space="preserve">なぜ「あの音」で体が緩む？脳が隠していた本当の理由#なぜ「あの音」を聴くだけで体が勝手に緩むのか？脳が隠していた本当のメカニズム #shorts #ゆっくり解説</t>
  </si>
  <si>
    <r>
      <rPr>
        <sz val="10"/>
        <rFont val="Arial"/>
        <family val="0"/>
        <charset val="1"/>
      </rPr>
      <t xml:space="preserve">99%</t>
    </r>
    <r>
      <rPr>
        <sz val="10"/>
        <rFont val="Noto Sans CJK SC"/>
        <family val="2"/>
      </rPr>
      <t xml:space="preserve">の人が知らない</t>
    </r>
    <r>
      <rPr>
        <sz val="10"/>
        <rFont val="Arial"/>
        <family val="0"/>
        <charset val="1"/>
      </rPr>
      <t xml:space="preserve">! </t>
    </r>
    <r>
      <rPr>
        <sz val="10"/>
        <rFont val="Noto Sans CJK SC"/>
        <family val="2"/>
      </rPr>
      <t xml:space="preserve">なぜ体がかゆくなるのか？その正体を暴く【ショート】</t>
    </r>
  </si>
  <si>
    <t xml:space="preserve">知らない方がよかったかも食べ物の匂いが記憶を蘇らせる理由#なぜ食べ物の匂いで記憶が蘇る？意外な脳の秘密 #shorts #ゆっくり解説</t>
  </si>
  <si>
    <t xml:space="preserve">2026-07-24</t>
  </si>
  <si>
    <t xml:space="preserve">夢の中で音を感じる理由実は脳が作り出した!?#99%が知らない夢の『音』の正体 #shorts #ゆっくり解説</t>
  </si>
  <si>
    <t xml:space="preserve">くしゃみの瞬間、目の前が光る——99%が知らないその0.5秒に体で何が起きているのか？【ショート】</t>
  </si>
  <si>
    <t xml:space="preserve">あくびが「うつる」のは気のせいじゃない99%が知らない脳の正体#あくびが「うつる」のは気のせいじゃない——99%が知らない脳の同調メカニズムの正体 #shorts #ゆっくり解説</t>
  </si>
  <si>
    <t xml:space="preserve">2026-07-25</t>
  </si>
  <si>
    <t xml:space="preserve">耳鳴り中に特定の音が突き刺さる理由、知ってる？#耳鳴りのとき、なぜか特定の音だけが異様に気になる——99%が知らない聴覚の正体 #shorts #ゆっくり解説</t>
  </si>
  <si>
    <t xml:space="preserve">耳が急に詰まる感覚、実は鼓膜の内側で起きているある現象の正体【ショート】</t>
  </si>
  <si>
    <t xml:space="preserve">免疫反応が体をダルくする！風邪の真相は意外な〇〇だった？#風邪を引くと体がだるすぎる!? その意外な原因を徹底解明 #shorts #ゆっくり解説</t>
  </si>
  <si>
    <t xml:space="preserve">2026-07-26</t>
  </si>
  <si>
    <t xml:space="preserve">昼寝したのになぜ余計しんどい？脳の90分サイクルが引き起こす『睡眠慣性』の罠#昼寝後にだるいのは睡眠のせいじゃない——脳が90分ごとに起こしている『ある現象』の正体 #shorts #ゆっくり解説</t>
  </si>
  <si>
    <t xml:space="preserve">音が消えるのは鼓膜のせいじゃない耳の中で水が起こす『物理的封鎖』の正体#耳に水が入ると音が消える？実は鼓膜より手前で起きている『あの現象』の正体 #shorts #ゆっくり解説</t>
  </si>
  <si>
    <t xml:space="preserve">なぜ運動で気分がスッキリする？実は脳内で『あの物質』が暴走中！【ショート】</t>
  </si>
  <si>
    <t xml:space="preserve">2026-07-28</t>
  </si>
  <si>
    <t xml:space="preserve">食欲を操る色の魔法！なぜ『色』が食欲に影響を与えるのか？【ショート】</t>
  </si>
  <si>
    <t xml:space="preserve">2026-07-29</t>
  </si>
  <si>
    <t xml:space="preserve">なぜ昼寝中の夢は現実と激しく違う？科学が解明する『夢の仕組み』【ショート】</t>
  </si>
  <si>
    <t xml:space="preserve">2026-07-31</t>
  </si>
  <si>
    <t xml:space="preserve">なぜ目の奥が痛くなる？実はそこに『隠された理由』があるんです【ショート】</t>
  </si>
  <si>
    <t xml:space="preserve">2026-08-01</t>
  </si>
  <si>
    <t xml:space="preserve">なぜ毎晩3時に目が覚める？体内時計が仕掛ける意外な罠【ショート】</t>
  </si>
  <si>
    <t xml:space="preserve">なぜ毎晩3時に目が覚める？体内時計が仕掛ける意外な罠</t>
  </si>
  <si>
    <t xml:space="preserve">耳鳴りの瞬間、なぜ突然やってくる？その意外な原因とは【ショート】</t>
  </si>
  <si>
    <t xml:space="preserve">2026-08-02</t>
  </si>
  <si>
    <t xml:space="preserve">なぜ日中の疲れで耳鳴りが悪化する？99%が知らない体の『裏モード』の正体【ショート】</t>
  </si>
  <si>
    <t xml:space="preserve">なぜ金縛りは『仰向け』で2倍も起きやすい？体勢で激変する眠りの謎【ショート】</t>
  </si>
  <si>
    <t xml:space="preserve">2026-08-03</t>
  </si>
  <si>
    <t xml:space="preserve">なぜ浅い眠りの夜は脳がぼんやり？記憶力が激変する『睡眠の深さ』の正体【ショート】</t>
  </si>
  <si>
    <t xml:space="preserve">2026-08-04</t>
  </si>
  <si>
    <t xml:space="preserve">目が開いてるのに状況が分からない謎の数秒#目が開いてるのに『ここどこ？』ってなる寝起きの数秒、脳の中で何が起きてるの？ #shorts #ゆっくり解説</t>
  </si>
  <si>
    <t xml:space="preserve">夢の中で急に気づく『これ夢だ』の正体#夢の中で『あ、これ夢だ』って気づく瞬間、脳の中で何が起きてるか知ってる？ #shorts #ゆっくり解説</t>
  </si>
  <si>
    <t xml:space="preserve">名前だけ出てこないのはなぜ？頭にあるのに言えない「あの人」の正体【ショート】</t>
  </si>
  <si>
    <t xml:space="preserve">2026-08-05</t>
  </si>
  <si>
    <t xml:space="preserve">ストレスで体がかゆくなる？99%が知らない意外な理由#なぜストレスで体がかゆくなるのか？99%が知らない意外な理由 #shorts #ゆっくり解説</t>
  </si>
  <si>
    <t xml:space="preserve">なぜ涙は悲しくないのに出る？3種類の正体【ショート】</t>
  </si>
  <si>
    <t xml:space="preserve">脳が生み出す天然モルヒネの秘密に迫るあなたの体で今も起きている現象#なぜ脳は天然モルヒネを作る？エンドルフィンの驚きの正体 #shorts #ゆっくり解説</t>
  </si>
  <si>
    <t xml:space="preserve">2026-08-06</t>
  </si>
  <si>
    <t xml:space="preserve">朝がつらい！そんなあなたに朗報！#やる気が出ない朝を劇的に変える!?たった5分の脳科学的ルーティン #shorts #ゆっくり解説</t>
  </si>
  <si>
    <t xml:space="preserve">なぜか毎回『同じ時間帯』それ、偶然じゃないんです#なぜ金縛りは『決まった時間』にしか起きないのか？99%が知らない睡眠の本当の仕組み #shorts #ゆっくり解説</t>
  </si>
  <si>
    <t xml:space="preserve">なぜ寒くないのに鳥肌が立つ？90%が勘違いする2つの反応の正体【ショート】【ショート】</t>
  </si>
  <si>
    <t xml:space="preserve">2026-08-08</t>
  </si>
  <si>
    <t xml:space="preserve">あなたの体で毎晩起きていること、気づいていますか？#睡眠中の『口の乾き』——99%が見過ごす体内の変化とは？ #shorts #ゆっくり解説</t>
  </si>
  <si>
    <t xml:space="preserve">なぜ立ち上がると目の前が暗い？99%が知らない『3秒間』の正体【ショート】【ショート】</t>
  </si>
  <si>
    <t xml:space="preserve">なぜ寝起きは鼻だけ詰まるの？4時間サイクルの秘密、知ってた？#今朝の鼻づまり、実は4時間ごとに左右が入れ替わってた——99%が知らない睡眠中の鼻の正体 #shorts #ゆっくり解説</t>
  </si>
  <si>
    <t xml:space="preserve">今朝なぜ寒い？99%が知らない体温0.5度の罠——目覚め直後に起きること【ショート】【ショート】</t>
  </si>
  <si>
    <r>
      <rPr>
        <sz val="10"/>
        <rFont val="Arial"/>
        <family val="0"/>
        <charset val="1"/>
      </rPr>
      <t xml:space="preserve">99%</t>
    </r>
    <r>
      <rPr>
        <sz val="10"/>
        <rFont val="Noto Sans CJK SC"/>
        <family val="2"/>
      </rPr>
      <t xml:space="preserve">が知らない「夢の記憶」の正体なぜあの夢だけ覚えてるの？</t>
    </r>
    <r>
      <rPr>
        <sz val="10"/>
        <rFont val="Arial"/>
        <family val="0"/>
        <charset val="1"/>
      </rPr>
      <t xml:space="preserve">#</t>
    </r>
    <r>
      <rPr>
        <sz val="10"/>
        <rFont val="Noto Sans CJK SC"/>
        <family val="2"/>
      </rPr>
      <t xml:space="preserve">昨夜の夢だけ覚えてる——</t>
    </r>
    <r>
      <rPr>
        <sz val="10"/>
        <rFont val="Arial"/>
        <family val="0"/>
        <charset val="1"/>
      </rPr>
      <t xml:space="preserve">99%</t>
    </r>
    <r>
      <rPr>
        <sz val="10"/>
        <rFont val="Noto Sans CJK SC"/>
        <family val="2"/>
      </rPr>
      <t xml:space="preserve">が知らない、脳が『あの夢』を選んで記録する本当の理由 </t>
    </r>
    <r>
      <rPr>
        <sz val="10"/>
        <rFont val="Arial"/>
        <family val="0"/>
        <charset val="1"/>
      </rPr>
      <t xml:space="preserve">#shorts #</t>
    </r>
    <r>
      <rPr>
        <sz val="10"/>
        <rFont val="Noto Sans CJK SC"/>
        <family val="2"/>
      </rPr>
      <t xml:space="preserve">ゆっくり解説</t>
    </r>
  </si>
  <si>
    <t xml:space="preserve">2026-08-10</t>
  </si>
  <si>
    <t xml:space="preserve">寝てる間だけ成長する？99%が知らない夜の体の秘密#寝ている間だけ分泌される『あのホルモン』——なぜ99%の人が睡眠中にしか成長できないのか？ #shorts #ゆっくり解説</t>
  </si>
  <si>
    <t xml:space="preserve">本を開いた瞬間に眠くなる理由集中しているのに眠い『逆説』の正体#本を読むと90%の人が5分以内に眠くなる——その『睡魔の罠』の正体、知ってる？ #shorts #ゆっくり解説</t>
  </si>
  <si>
    <t xml:space="preserve">なぜ今夜、布団で足だけ熱い？90%が勘違いする30分の放熱の正体【ショート】</t>
  </si>
  <si>
    <t xml:space="preserve">2026-08-11</t>
  </si>
  <si>
    <t xml:space="preserve">今夜あなたが寝返りした瞬間、なぜ0.8秒だけ目が覚める？実は眠りが消える前の脳内チェック【ショート】</t>
  </si>
  <si>
    <t xml:space="preserve">2026-08-12</t>
  </si>
  <si>
    <t xml:space="preserve">昨夜の夢、なぜ12分なのに何時間もいた気がする？9割が勘違いする時間感覚【ショート】</t>
  </si>
  <si>
    <t xml:space="preserve">なぜ今目を閉じるとふらつくのか？99%が知らない最初の3秒の平衡感覚【ショート】</t>
  </si>
  <si>
    <t xml:space="preserve">なぜ今飲んだ炭酸は鼻までツーンとするのか？99%が知らない0.3秒の刺激ルート【ショート】</t>
  </si>
  <si>
    <t xml:space="preserve">なぜ今、片方の手だけ冷たいのか？9割が見落とす2倍の血流差【ショート】</t>
  </si>
  <si>
    <t xml:space="preserve">なぜくしゃみの後だけ体が軽いのか？9割が知らない3秒間の神経反応【ショート】</t>
  </si>
  <si>
    <t xml:space="preserve">なぜ辛い物で汗が出るのか？実は9割が勘違いする0.5秒の温度反応【ショート】</t>
  </si>
  <si>
    <t xml:space="preserve">なぜ夢の続きを見た気がするのか？99%が知らない目覚め後5分の記憶再構成【ショート】</t>
  </si>
  <si>
    <t xml:space="preserve">なぜ正座を崩した瞬間だけビリビリするのか？99%が知らない30秒の正体【ショート】</t>
  </si>
  <si>
    <r>
      <rPr>
        <sz val="10"/>
        <rFont val="Arial"/>
        <family val="0"/>
        <charset val="1"/>
      </rPr>
      <t xml:space="preserve">1</t>
    </r>
    <r>
      <rPr>
        <sz val="10"/>
        <rFont val="Noto Sans CJK SC"/>
        <family val="2"/>
      </rPr>
      <t xml:space="preserve">分科学 </t>
    </r>
    <r>
      <rPr>
        <sz val="10"/>
        <rFont val="Arial"/>
        <family val="0"/>
        <charset val="1"/>
      </rPr>
      <t xml:space="preserve">#88</t>
    </r>
    <r>
      <rPr>
        <sz val="10"/>
        <rFont val="Noto Sans CJK SC"/>
        <family val="2"/>
      </rPr>
      <t xml:space="preserve">：📈なぜあなたは最後の</t>
    </r>
    <r>
      <rPr>
        <sz val="10"/>
        <rFont val="Arial"/>
        <family val="0"/>
        <charset val="1"/>
      </rPr>
      <t xml:space="preserve">1</t>
    </r>
    <r>
      <rPr>
        <sz val="10"/>
        <rFont val="Noto Sans CJK SC"/>
        <family val="2"/>
      </rPr>
      <t xml:space="preserve">段だけ踏み外す？</t>
    </r>
    <r>
      <rPr>
        <sz val="10"/>
        <rFont val="Arial"/>
        <family val="0"/>
        <charset val="1"/>
      </rPr>
      <t xml:space="preserve">99%</t>
    </r>
    <r>
      <rPr>
        <sz val="10"/>
        <rFont val="Noto Sans CJK SC"/>
        <family val="2"/>
      </rPr>
      <t xml:space="preserve">が知らない</t>
    </r>
    <r>
      <rPr>
        <sz val="10"/>
        <rFont val="Arial"/>
        <family val="0"/>
        <charset val="1"/>
      </rPr>
      <t xml:space="preserve">0.3</t>
    </r>
    <r>
      <rPr>
        <sz val="10"/>
        <rFont val="Noto Sans CJK SC"/>
        <family val="2"/>
      </rPr>
      <t xml:space="preserve">秒のズレ📊【ショート】</t>
    </r>
  </si>
  <si>
    <r>
      <rPr>
        <sz val="10"/>
        <rFont val="Arial"/>
        <family val="0"/>
        <charset val="1"/>
      </rPr>
      <t xml:space="preserve">1</t>
    </r>
    <r>
      <rPr>
        <sz val="10"/>
        <rFont val="Noto Sans CJK SC"/>
        <family val="2"/>
      </rPr>
      <t xml:space="preserve">分科学 </t>
    </r>
    <r>
      <rPr>
        <sz val="10"/>
        <rFont val="Arial"/>
        <family val="0"/>
        <charset val="1"/>
      </rPr>
      <t xml:space="preserve">#89</t>
    </r>
    <r>
      <rPr>
        <sz val="10"/>
        <rFont val="Noto Sans CJK SC"/>
        <family val="2"/>
      </rPr>
      <t xml:space="preserve">：💯なぜあなたは寝る直前だけ昔の失敗を思い出すのか？</t>
    </r>
    <r>
      <rPr>
        <sz val="10"/>
        <rFont val="Arial"/>
        <family val="0"/>
        <charset val="1"/>
      </rPr>
      <t xml:space="preserve">99%</t>
    </r>
    <r>
      <rPr>
        <sz val="10"/>
        <rFont val="Noto Sans CJK SC"/>
        <family val="2"/>
      </rPr>
      <t xml:space="preserve">が知らない</t>
    </r>
    <r>
      <rPr>
        <sz val="10"/>
        <rFont val="Arial"/>
        <family val="0"/>
        <charset val="1"/>
      </rPr>
      <t xml:space="preserve">30</t>
    </r>
    <r>
      <rPr>
        <sz val="10"/>
        <rFont val="Noto Sans CJK SC"/>
        <family val="2"/>
      </rPr>
      <t xml:space="preserve">秒の脳内変化【ショート】</t>
    </r>
  </si>
  <si>
    <t xml:space="preserve">2026-07-30</t>
  </si>
  <si>
    <r>
      <rPr>
        <sz val="10"/>
        <rFont val="Arial"/>
        <family val="0"/>
        <charset val="1"/>
      </rPr>
      <t xml:space="preserve">1</t>
    </r>
    <r>
      <rPr>
        <sz val="10"/>
        <rFont val="Noto Sans CJK SC"/>
        <family val="2"/>
      </rPr>
      <t xml:space="preserve">分ポケモン研究：レックウザの誕生に隠された秘密神話と科学が交差する瞬間</t>
    </r>
    <r>
      <rPr>
        <sz val="10"/>
        <rFont val="Arial"/>
        <family val="0"/>
        <charset val="1"/>
      </rPr>
      <t xml:space="preserve">#</t>
    </r>
    <r>
      <rPr>
        <sz val="10"/>
        <rFont val="Noto Sans CJK SC"/>
        <family val="2"/>
      </rPr>
      <t xml:space="preserve">レックウザの誕生に隠された秘密—神話と科学の交差点 </t>
    </r>
    <r>
      <rPr>
        <sz val="10"/>
        <rFont val="Arial"/>
        <family val="0"/>
        <charset val="1"/>
      </rPr>
      <t xml:space="preserve">#shorts #</t>
    </r>
    <r>
      <rPr>
        <sz val="10"/>
        <rFont val="Noto Sans CJK SC"/>
        <family val="2"/>
      </rPr>
      <t xml:space="preserve">ゆっくり解説</t>
    </r>
  </si>
  <si>
    <r>
      <rPr>
        <sz val="10"/>
        <rFont val="Arial"/>
        <family val="0"/>
        <charset val="1"/>
      </rPr>
      <t xml:space="preserve">1</t>
    </r>
    <r>
      <rPr>
        <sz val="10"/>
        <rFont val="Noto Sans CJK SC"/>
        <family val="2"/>
      </rPr>
      <t xml:space="preserve">分ポケモン研究：ヤドンの尻尾に隠された秘密実は痛みを感じないって本当？</t>
    </r>
    <r>
      <rPr>
        <sz val="10"/>
        <rFont val="Arial"/>
        <family val="0"/>
        <charset val="1"/>
      </rPr>
      <t xml:space="preserve">#</t>
    </r>
    <r>
      <rPr>
        <sz val="10"/>
        <rFont val="Noto Sans CJK SC"/>
        <family val="2"/>
      </rPr>
      <t xml:space="preserve">なぜヤドンの尻尾は痛くないの？驚きの理由 </t>
    </r>
    <r>
      <rPr>
        <sz val="10"/>
        <rFont val="Arial"/>
        <family val="0"/>
        <charset val="1"/>
      </rPr>
      <t xml:space="preserve">#shorts #</t>
    </r>
    <r>
      <rPr>
        <sz val="10"/>
        <rFont val="Noto Sans CJK SC"/>
        <family val="2"/>
      </rPr>
      <t xml:space="preserve">ゆっくり解説</t>
    </r>
  </si>
  <si>
    <t xml:space="preserve">エリートトレーナーの謎—なぜ彼らだけが特別なのか？【ショート】</t>
  </si>
  <si>
    <r>
      <rPr>
        <sz val="10"/>
        <rFont val="Arial"/>
        <family val="0"/>
        <charset val="1"/>
      </rPr>
      <t xml:space="preserve">1</t>
    </r>
    <r>
      <rPr>
        <sz val="10"/>
        <rFont val="Noto Sans CJK SC"/>
        <family val="2"/>
      </rPr>
      <t xml:space="preserve">分ポケモン研究：図鑑のあの説明文、どうしてそんなに怖いのか？公式が書いた衝撃のテキストを考察！</t>
    </r>
    <r>
      <rPr>
        <sz val="10"/>
        <rFont val="Arial"/>
        <family val="0"/>
        <charset val="1"/>
      </rPr>
      <t xml:space="preserve">#shorts #</t>
    </r>
    <r>
      <rPr>
        <sz val="10"/>
        <rFont val="Noto Sans CJK SC"/>
        <family val="2"/>
      </rPr>
      <t xml:space="preserve">ゆっくり解説</t>
    </r>
  </si>
  <si>
    <t xml:space="preserve">なぜレッドは山頂に立ち続けるのか？彼の秘密に迫る！【ショート】</t>
  </si>
  <si>
    <t xml:space="preserve">ポケモン図鑑に隠された怖すぎる説明文の真相とは？【ショート】</t>
  </si>
  <si>
    <t xml:space="preserve">なぜ御三家は炎・水・草だけ？『三すくみ』設計の裏にある本当の理由【ショート】</t>
  </si>
  <si>
    <t xml:space="preserve">なぜイーブイだけ8種類も進化できるのか？遺伝子の暴走と分岐条件の正体がヤバすぎた【ショート】</t>
  </si>
  <si>
    <t xml:space="preserve">なぜヤドンはシェルダーに噛まれると進化するのか？分岐進化の本当の理由がヤバすぎた【ショート】</t>
  </si>
  <si>
    <t xml:space="preserve">ゲンガーの『元ネタ』、実はまだ誰も正確に言えていない理由【ショート】</t>
  </si>
  <si>
    <t xml:space="preserve">なぜ種族値だけで強さが変わるのか？衝撃の数字の正体とは【ショート】【ショート】</t>
  </si>
  <si>
    <t xml:space="preserve">なぜコイキングは種族値200なのか？進化前だけ弱すぎる本当の理由がヤバすぎた【ショート】</t>
  </si>
  <si>
    <r>
      <rPr>
        <sz val="10"/>
        <rFont val="Arial"/>
        <family val="0"/>
        <charset val="1"/>
      </rPr>
      <t xml:space="preserve">1</t>
    </r>
    <r>
      <rPr>
        <sz val="10"/>
        <rFont val="Noto Sans CJK SC"/>
        <family val="2"/>
      </rPr>
      <t xml:space="preserve">分ポケモン研究：なぜピカチュウだけ？図鑑</t>
    </r>
    <r>
      <rPr>
        <sz val="10"/>
        <rFont val="Arial"/>
        <family val="0"/>
        <charset val="1"/>
      </rPr>
      <t xml:space="preserve">778</t>
    </r>
    <r>
      <rPr>
        <sz val="10"/>
        <rFont val="Noto Sans CJK SC"/>
        <family val="2"/>
      </rPr>
      <t xml:space="preserve">番の本音</t>
    </r>
    <r>
      <rPr>
        <sz val="10"/>
        <rFont val="Arial"/>
        <family val="0"/>
        <charset val="1"/>
      </rPr>
      <t xml:space="preserve">#</t>
    </r>
    <r>
      <rPr>
        <sz val="10"/>
        <rFont val="Noto Sans CJK SC"/>
        <family val="2"/>
      </rPr>
      <t xml:space="preserve">なぜ図鑑</t>
    </r>
    <r>
      <rPr>
        <sz val="10"/>
        <rFont val="Arial"/>
        <family val="0"/>
        <charset val="1"/>
      </rPr>
      <t xml:space="preserve">778</t>
    </r>
    <r>
      <rPr>
        <sz val="10"/>
        <rFont val="Noto Sans CJK SC"/>
        <family val="2"/>
      </rPr>
      <t xml:space="preserve">番はピカチュウだけ真似るのか？理由が意外すぎた【ショート】 </t>
    </r>
    <r>
      <rPr>
        <sz val="10"/>
        <rFont val="Arial"/>
        <family val="0"/>
        <charset val="1"/>
      </rPr>
      <t xml:space="preserve">#shorts #</t>
    </r>
    <r>
      <rPr>
        <sz val="10"/>
        <rFont val="Noto Sans CJK SC"/>
        <family val="2"/>
      </rPr>
      <t xml:space="preserve">ゆっくり解説</t>
    </r>
  </si>
  <si>
    <t xml:space="preserve">なぜレックウザは空から降りないのか？図鑑384番の誕生神話が衝撃すぎた【ショート】【ショート】</t>
  </si>
  <si>
    <t xml:space="preserve">なぜ同じドラゴンなのに勝敗が割れるのか？カイリューとボーマンダの隠された実戦性能の秘密【ショート】</t>
  </si>
  <si>
    <t xml:space="preserve">なぜメタグロスはサーフゴーに勝てない？持ち物1つで逆転する本当の理由【ショート】</t>
  </si>
  <si>
    <t xml:space="preserve">なぜパルキアは勝てないと言われる？ウルトラネクロズマとの数字差が意外すぎる【ショート】</t>
  </si>
  <si>
    <t xml:space="preserve">ルカリオとウルガモス、どっちが勝つ？相性有利がひっくり返る実戦条件【ショート】</t>
  </si>
  <si>
    <t xml:space="preserve">ミミッキュとロトム、どっちが勝つ？姿変化を実戦で比べた結果【ショート】</t>
  </si>
  <si>
    <t xml:space="preserve">ホウオウとルギア、まともに戦わせたらどっちが勝つのか【ショート】</t>
  </si>
  <si>
    <t xml:space="preserve">バンギラスとメタグロス、どっちが勝つ？600族対決は持ち物1つで逆転する【ショート】</t>
  </si>
  <si>
    <t xml:space="preserve">リザードンとカイリュー、どっちが勝つ？4倍弱点で勝敗がひっくり返る【ショート】</t>
  </si>
  <si>
    <t xml:space="preserve">ガブリアスとボーマンダ、素早さ1でどっちが勝つ？君は気づけるか【ショート】</t>
  </si>
  <si>
    <r>
      <rPr>
        <sz val="10"/>
        <rFont val="Arial"/>
        <family val="0"/>
        <charset val="1"/>
      </rPr>
      <t xml:space="preserve">1</t>
    </r>
    <r>
      <rPr>
        <sz val="10"/>
        <rFont val="Noto Sans CJK SC"/>
        <family val="2"/>
      </rPr>
      <t xml:space="preserve">分ポケモン研究 </t>
    </r>
    <r>
      <rPr>
        <sz val="10"/>
        <rFont val="Arial"/>
        <family val="0"/>
        <charset val="1"/>
      </rPr>
      <t xml:space="preserve">#9</t>
    </r>
    <r>
      <rPr>
        <sz val="10"/>
        <rFont val="Noto Sans CJK SC"/>
        <family val="2"/>
      </rPr>
      <t xml:space="preserve">：🎮カイオーガとグラードン、天候を</t>
    </r>
    <r>
      <rPr>
        <sz val="10"/>
        <rFont val="Arial"/>
        <family val="0"/>
        <charset val="1"/>
      </rPr>
      <t xml:space="preserve">2</t>
    </r>
    <r>
      <rPr>
        <sz val="10"/>
        <rFont val="Noto Sans CJK SC"/>
        <family val="2"/>
      </rPr>
      <t xml:space="preserve">回張ったらどっちが勝つ？【ショート】</t>
    </r>
  </si>
  <si>
    <t xml:space="preserve">一口SCP：人類の前に『別の文明』が存在した財団が隠し続ける、本当の歴史#SCP-1000【人類が忘れさせられた理由】— なぜ財団は今も記憶を消し続けるのか #shorts #ゆっくり解説</t>
  </si>
  <si>
    <r>
      <rPr>
        <sz val="10"/>
        <rFont val="Arial"/>
        <family val="0"/>
        <charset val="1"/>
      </rPr>
      <t xml:space="preserve">SCP-179</t>
    </r>
    <r>
      <rPr>
        <sz val="10"/>
        <rFont val="Noto Sans CJK SC"/>
        <family val="2"/>
      </rPr>
      <t xml:space="preserve">「すばる」が財団に警告を送り続けた理由—なぜ誰も止められなかったのか【ショート】</t>
    </r>
  </si>
  <si>
    <t xml:space="preserve">一口SCP：瞬きの、その一瞬で首が折れる#SCP-173【それは、瞬きの間に】視線を外した0.3秒で何が起きるのか #shorts #ゆっくり解説</t>
  </si>
  <si>
    <t xml:space="preserve">一口SCP：財団のデータベースが、上書きされているSCP-3812は『収容』という概念すら超えた#SCP-3812【財団の記録が、消えていく】なぜ収容プロトコルが原理的に存在できないのか #short</t>
  </si>
  <si>
    <r>
      <rPr>
        <sz val="10"/>
        <rFont val="Arial"/>
        <family val="0"/>
        <charset val="1"/>
      </rPr>
      <t xml:space="preserve">SCP-4666</t>
    </r>
    <r>
      <rPr>
        <sz val="10"/>
        <rFont val="Noto Sans CJK SC"/>
        <family val="2"/>
      </rPr>
      <t xml:space="preserve">「ユールマン」— 冬至の夜、北緯</t>
    </r>
    <r>
      <rPr>
        <sz val="10"/>
        <rFont val="Arial"/>
        <family val="0"/>
        <charset val="1"/>
      </rPr>
      <t xml:space="preserve">55</t>
    </r>
    <r>
      <rPr>
        <sz val="10"/>
        <rFont val="Noto Sans CJK SC"/>
        <family val="2"/>
      </rPr>
      <t xml:space="preserve">度以北で子供だけが消える理由を財団は</t>
    </r>
    <r>
      <rPr>
        <sz val="10"/>
        <rFont val="Arial"/>
        <family val="0"/>
        <charset val="1"/>
      </rPr>
      <t xml:space="preserve">18</t>
    </r>
    <r>
      <rPr>
        <sz val="10"/>
        <rFont val="Noto Sans CJK SC"/>
        <family val="2"/>
      </rPr>
      <t xml:space="preserve">年間隠し続けた【ショート】</t>
    </r>
  </si>
  <si>
    <t xml:space="preserve">一口SCP：目を離すな瞬きすら、許されない#SCP-173【それは、瞬きの間に】目を離した瞬間に何かが起きている #shorts #ゆっくり解説</t>
  </si>
  <si>
    <t xml:space="preserve">一口SCP：目を離した瞬間、終わるSCP-173 ── 財団最古の封印#SCP-173【それは、瞬きの間に】目を離した0.3秒で何が起きるのか #shorts #ゆっくり解説</t>
  </si>
  <si>
    <r>
      <rPr>
        <sz val="10"/>
        <rFont val="Arial"/>
        <family val="0"/>
        <charset val="1"/>
      </rPr>
      <t xml:space="preserve">SCP-1425</t>
    </r>
    <r>
      <rPr>
        <sz val="10"/>
        <rFont val="Noto Sans CJK SC"/>
        <family val="2"/>
      </rPr>
      <t xml:space="preserve">「星の歌」— この動画を最後まで見た人が、なぜか全員同じ夢を見る理由【ショート】</t>
    </r>
  </si>
  <si>
    <t xml:space="preserve">一口SCP：視線を外した瞬間、終わり財団収容室・機密レベル：最高機密#SCP-173「彫刻」— 視線を外した0.3秒で、なぜ人は死ぬのか #shorts #ゆっくり解説</t>
  </si>
  <si>
    <r>
      <rPr>
        <sz val="10"/>
        <rFont val="Arial"/>
        <family val="0"/>
        <charset val="1"/>
      </rPr>
      <t xml:space="preserve">SCP-835</t>
    </r>
    <r>
      <rPr>
        <sz val="10"/>
        <rFont val="Noto Sans CJK SC"/>
        <family val="2"/>
      </rPr>
      <t xml:space="preserve">「触手の穴」— 財団が</t>
    </r>
    <r>
      <rPr>
        <sz val="10"/>
        <rFont val="Arial"/>
        <family val="0"/>
        <charset val="1"/>
      </rPr>
      <t xml:space="preserve">13</t>
    </r>
    <r>
      <rPr>
        <sz val="10"/>
        <rFont val="Noto Sans CJK SC"/>
        <family val="2"/>
      </rPr>
      <t xml:space="preserve">名の失踪を隠蔽し続けた深海施設の実験記録、なぜ全ページが黒塗りなのか【ショート】</t>
    </r>
  </si>
  <si>
    <t xml:space="preserve">一口SCP：視線を外した瞬間、動く財団収容室から流出した機密記録#SCP-173「彫刻」— 視線を外した0.3秒で、首が折れる #shorts #ゆっくり解説</t>
  </si>
  <si>
    <t xml:space="preserve">一口SCP：心臓を持って入れ——それが唯一の収容条件扉を開けた12名、全員が消滅#SCP-1983「ドアの向こうの闇」— 心臓を持たずに開けた扉の先で、財団員は何を見たのか #shorts #ゆっくり</t>
  </si>
  <si>
    <r>
      <rPr>
        <sz val="10"/>
        <rFont val="Arial"/>
        <family val="0"/>
        <charset val="1"/>
      </rPr>
      <t xml:space="preserve">SCP-1983</t>
    </r>
    <r>
      <rPr>
        <sz val="10"/>
        <rFont val="Noto Sans CJK SC"/>
        <family val="2"/>
      </rPr>
      <t xml:space="preserve">「ドアの向こうの闇」— 財団が封印した扉を、なぜ研究員は心臓を持って開けなければならないのか【ショート】</t>
    </r>
  </si>
  <si>
    <t xml:space="preserve">一口SCP：心臓を持って入室せよ財団が隠した扉の向こう側#SCP-1983「ドアの向こうの闇」— 心臓を持って入れ、という収容プロトコルが実在した理由 #shorts #ゆっくり解説</t>
  </si>
  <si>
    <r>
      <rPr>
        <sz val="10"/>
        <rFont val="Arial"/>
        <family val="0"/>
        <charset val="1"/>
      </rPr>
      <t xml:space="preserve">SCP-4715</t>
    </r>
    <r>
      <rPr>
        <sz val="10"/>
        <rFont val="Noto Sans CJK SC"/>
        <family val="2"/>
      </rPr>
      <t xml:space="preserve">「戦争終結者」— 財団が第二次世界大戦を終わらせたという記録が、なぜ</t>
    </r>
    <r>
      <rPr>
        <sz val="10"/>
        <rFont val="Arial"/>
        <family val="0"/>
        <charset val="1"/>
      </rPr>
      <t xml:space="preserve">[DATA EXPUNGED]</t>
    </r>
    <r>
      <rPr>
        <sz val="10"/>
        <rFont val="Noto Sans CJK SC"/>
        <family val="2"/>
      </rPr>
      <t xml:space="preserve">されたのか【ショート】</t>
    </r>
  </si>
  <si>
    <t xml:space="preserve">一口SCP：目を離した瞬間に動く財団収容記録：機密レベル最高#SCP-173「彫刻」——目を離した0.3秒で、14人が消えた収容室の真実 #shorts #ゆっくり解説</t>
  </si>
  <si>
    <t xml:space="preserve">一口SCP：目を離した瞬間、動く財団が隠す173の真実#SCP-173「彫刻」——目を離した0.3秒で、なぜ首が折れるのか #shorts #ゆっくり解説</t>
  </si>
  <si>
    <r>
      <rPr>
        <sz val="10"/>
        <rFont val="Arial"/>
        <family val="0"/>
        <charset val="1"/>
      </rPr>
      <t xml:space="preserve">SCP-1730</t>
    </r>
    <r>
      <rPr>
        <sz val="10"/>
        <rFont val="Noto Sans CJK SC"/>
        <family val="2"/>
      </rPr>
      <t xml:space="preserve">「存在しなかったサイト」— 財団施設が丸ごと消えた夜、最後の交信記録に何が残っていたのか【ショート】</t>
    </r>
  </si>
  <si>
    <r>
      <rPr>
        <sz val="10"/>
        <rFont val="Arial"/>
        <family val="0"/>
        <charset val="1"/>
      </rPr>
      <t xml:space="preserve">SCP-4840</t>
    </r>
    <r>
      <rPr>
        <sz val="10"/>
        <rFont val="Noto Sans CJK SC"/>
        <family val="2"/>
      </rPr>
      <t xml:space="preserve">「バビロンの巨人」— 財団が古代遺跡ごと地下に埋めた本当の理由【ショート】</t>
    </r>
  </si>
  <si>
    <t xml:space="preserve">一口SCP：目を離した瞬間、死ぬ財団収容室・機密映像より#SCP-173「彫刻」——目を離した0.3秒で、なぜ首が折れるのか #shorts #ゆっくり解説</t>
  </si>
  <si>
    <t xml:space="preserve">一口SCP：目を離した瞬間、死ぬ財団収容記録：機密レベル最高#SCP-173「彫刻」——目を離した0.3秒で、なぜ首が折れるのか #shorts #ゆっくり解説</t>
  </si>
  <si>
    <t xml:space="preserve">一口SCP：見るのをやめた瞬間、それは動く生存者：ゼロ#SCP-173「彫刻」——視線を外した0.3秒で17人が死んだ理由 #shorts #ゆっくり解説</t>
  </si>
  <si>
    <t xml:space="preserve">一口SCP：接触記録17件、生存者ゼロそれでも財団は『安全』と判断した#SCP-173「彫刻」——視線を切った0.3秒で、17人が死んだ #shorts #ゆっくり解説</t>
  </si>
  <si>
    <r>
      <rPr>
        <sz val="10"/>
        <rFont val="Arial"/>
        <family val="0"/>
        <charset val="1"/>
      </rPr>
      <t xml:space="preserve">SCP-3003</t>
    </r>
    <r>
      <rPr>
        <sz val="10"/>
        <rFont val="Noto Sans CJK SC"/>
        <family val="2"/>
      </rPr>
      <t xml:space="preserve">「失われた電源」— 財団が封印した異常技術、収容室の外に出た記録が存在する【ショート】</t>
    </r>
  </si>
  <si>
    <t xml:space="preserve">一口SCP：財団が『受け取った』存在それは本当に贈り物だったのか#SCP-4002「生の贈り物」——収容された異常存在が財団に渡したものの正体が、あまりにも #shorts #ゆっくり解説</t>
  </si>
  <si>
    <t xml:space="preserve">一口SCP：担当者17名、記録ごと消滅SCP-4002の正体、財団も解明不能#SCP-4002「生の贈り物」——収容した翌日、担当研究員17名の記録が財団データベースから完全に消えた理由 #short</t>
  </si>
  <si>
    <t xml:space="preserve">財団が隠し続けた『消耗品』の正体——Dクラス職員は、なぜ毎月末に全員消える？【ショート】</t>
  </si>
  <si>
    <t xml:space="preserve">一口SCP：目を離したら…理解不能な恐怖が迫る#目を離した0.3秒で命を奪うSCP-173の恐怖、その背後に潜む真実 #shorts #ゆっくり解説</t>
  </si>
  <si>
    <t xml:space="preserve">充電切れの怪異: SCP-904の謎とその恐るべき影響【ショート】</t>
  </si>
  <si>
    <t xml:space="preserve">一口SCP：視線を外すと命が狙われる。SCP-173、油断した瞬間が命取り。#目を離した0.3秒で命が奪われる恐怖。SCP-173が収容室で起こす異常な現象 #shorts #ゆっくり解説</t>
  </si>
  <si>
    <t xml:space="preserve">なぜ道はうごめく？SCP-609の衝撃の真実【ショート】</t>
  </si>
  <si>
    <t xml:space="preserve">一口SCP：目を離した0.3秒で殺される財団が隠し続けた『最初の異常存在』#目を離した瞬間、首が折れる。SCP-173が財団史上最初に収容された本当の理由 #shorts #ゆっくり解説</t>
  </si>
  <si>
    <t xml:space="preserve">一口SCP：目を離したら、死ぬ。財団が隠し続けた『最初の異常存在』#目を離した0.3秒で首が折れる。SCP-173が財団史上最も古い収容違反を繰り返す本当の理由 #shorts #ゆっくり解説</t>
  </si>
  <si>
    <t xml:space="preserve">一口SCP：目を離した瞬間、終わる財団最古の異常存在 SCP-173#目を離した0.3秒で首が折れる。SCP-173【財団が最初の収容違反を隠し続ける本当の理由】 #shorts #ゆっくり解説</t>
  </si>
  <si>
    <r>
      <rPr>
        <sz val="10"/>
        <rFont val="Arial"/>
        <family val="0"/>
        <charset val="1"/>
      </rPr>
      <t xml:space="preserve">SCP-078</t>
    </r>
    <r>
      <rPr>
        <sz val="10"/>
        <rFont val="Noto Sans CJK SC"/>
        <family val="2"/>
      </rPr>
      <t xml:space="preserve">が収容違反した夜、財団研究員たちは全員『同じ夢』を見た【ショート】</t>
    </r>
  </si>
  <si>
    <t xml:space="preserve">一口SCP：SCP-166「若返りのリリス」— 財団が17名の記憶を[REDACTED]した本当の理由【ショート】</t>
  </si>
  <si>
    <t xml:space="preserve">一口SCP：記憶を消す水の謎それを知れば、恐怖は形を変える#記憶を奪う『忘却の水』の真実が隠された理由。 #shorts #ゆっくり解説</t>
  </si>
  <si>
    <t xml:space="preserve">一口SCP：飲んだ翌日、自分の名前を忘れる財団の収容が3度破綻した理由#その水を飲んだ研究員が、翌朝『自分の名前』を忘れていた。財団が隠し続けるSCP-2050「忘却の水」の収容破綻記録 #short</t>
  </si>
  <si>
    <t xml:space="preserve">一口SCP：実験記録17件すべて[DATA EXPUNGED]された異常存在の、財団が隠し続ける本当の正体【ショート】</t>
  </si>
  <si>
    <t xml:space="preserve">一口SCP：修復完了のたびに人が消える財団が隠し続けた『自動修復』の正体#一口SCP：SCP-1238「メカニカルリペアマン」— 修復が終わるたびに17名が消えた理由 #shorts #ゆっくり解説</t>
  </si>
  <si>
    <t xml:space="preserve">一口SCP：SCP-1238「メカニカルリペアマン」が修理した17名、その後の記録が[DATA EXPUNGED]されている本当の理由【ショート】</t>
  </si>
  <si>
    <t xml:space="preserve">一口SCP：修復完了まで平均72時間——その間、人間は何をされる？財団収容施設で17件の『自発的失踪』が記録された#一口SCP：SCP-1238「メカニカルリペアマン」が修復するのは機械じゃない——財</t>
  </si>
  <si>
    <t xml:space="preserve">一口SCP：視線を外すと即死の恐怖財団最古の収容違反を暴露#SCP-173【目を離した0.3秒で首が折れる理由】 #shorts #ゆっくり解説</t>
  </si>
  <si>
    <t xml:space="preserve">一口SCP：SCP-1242「八つの目を持つ者」— 接触から72時間後、23名中19名が自分の名前を答えられなくなった本当の理由【ショート】</t>
  </si>
  <si>
    <t xml:space="preserve">一口SCP：目を離した瞬間、死が訪れる。視線を外すと動き出す古代の彫刻。#SCP-173【視線を外すと襲いかかる彫刻】 #shorts #ゆっくり解説</t>
  </si>
  <si>
    <t xml:space="preserve">一口SCP：異常な図書館が消える理由とは？記憶を奪う書物が存在する？#SCP-1618「消える図書館」の謎：財団が隠す異常な本の正体 #shorts #ゆっくり解説</t>
  </si>
  <si>
    <t xml:space="preserve">施設ごと消えた記録が3件だけある——SCP-1730と残り2件、崩壊の経緯がまったく違う理由を財団は隠している【ショート】</t>
  </si>
  <si>
    <t xml:space="preserve">一口SCP：入館者72時間後に記録消滅財団Lv4以上しか閲覧できない収容プロトコル#一口SCP：SCP-1618「消える図書館」— 入館した72時間後、司書の記録が完全に消えた本当の理由 #short</t>
  </si>
  <si>
    <t xml:space="preserve">一口SCP：施設ごと消えた——記録も、職員も、存在した痕跡さえも財団の収容プロトコルと『現実の隠蔽』は、なぜこんなにも同じ構造をしているのか#財団が封印した『消えた施設』——日本国内に実在した3件の記</t>
  </si>
  <si>
    <t xml:space="preserve">一口SCP：財団が消した施設…あなたの隣にあるかもしれない#消えた日本の財団施設…その真相に迫る #shorts #ゆっくり解説</t>
  </si>
  <si>
    <t xml:space="preserve">一口SCP：視線を外すその瞬間SCP-173が迫ってくる#見てはいけない瞬間、SCP-173の驚異 #shorts #ゆっくり解説</t>
  </si>
  <si>
    <r>
      <rPr>
        <sz val="10"/>
        <rFont val="Arial"/>
        <family val="0"/>
        <charset val="1"/>
      </rPr>
      <t xml:space="preserve">SCP-1337</t>
    </r>
    <r>
      <rPr>
        <sz val="10"/>
        <rFont val="Noto Sans CJK SC"/>
        <family val="2"/>
      </rPr>
      <t xml:space="preserve">に触れた</t>
    </r>
    <r>
      <rPr>
        <sz val="10"/>
        <rFont val="Arial"/>
        <family val="0"/>
        <charset val="1"/>
      </rPr>
      <t xml:space="preserve">17</t>
    </r>
    <r>
      <rPr>
        <sz val="10"/>
        <rFont val="Noto Sans CJK SC"/>
        <family val="2"/>
      </rPr>
      <t xml:space="preserve">名が全員同じ夢を見た——財団が隠し続けた「意識が宿る電球」の正体【ショート】</t>
    </r>
  </si>
  <si>
    <t xml:space="preserve">一口SCP：目を離した瞬間、首を折られる財団が17名の死亡を隠蔽した理由とは#目を離した0.3秒で首を折られる——SCP-173が財団最古の収容記録に残り続ける本当の理由 #shorts #ゆっくり解</t>
  </si>
  <si>
    <t xml:space="preserve">一口SCP：財団が隠し続けた異常事件収容違反事件の裏側に潜む恐怖#財団が隠し続けたSCP-XXXの正体—収容違反事件の裏側 #shorts #ゆっくり解説</t>
  </si>
  <si>
    <t xml:space="preserve">一口SCP：この報告書…読んだら後悔するかもしれない財団データベースから、また一つ流出した#財団が隠し続けた認識災害SCPの本当の理由 #shorts #ゆっくり解説</t>
  </si>
  <si>
    <t xml:space="preserve">一口SCP：孤独な瞬間にだけ現れるSCPの正体#孤独な瞬間にだけ現れるSCPの本当の理由——財団が隠した切ない真実 #shorts #ゆっくり解説</t>
  </si>
  <si>
    <r>
      <rPr>
        <sz val="10"/>
        <rFont val="Arial"/>
        <family val="0"/>
        <charset val="1"/>
      </rPr>
      <t xml:space="preserve">SCP-1733</t>
    </r>
    <r>
      <rPr>
        <sz val="10"/>
        <rFont val="Noto Sans CJK SC"/>
        <family val="2"/>
      </rPr>
      <t xml:space="preserve">：「開幕戦」——財団が隠した恐怖の</t>
    </r>
    <r>
      <rPr>
        <sz val="10"/>
        <rFont val="Arial"/>
        <family val="0"/>
        <charset val="1"/>
      </rPr>
      <t xml:space="preserve">DVD</t>
    </r>
    <r>
      <rPr>
        <sz val="10"/>
        <rFont val="Noto Sans CJK SC"/>
        <family val="2"/>
      </rPr>
      <t xml:space="preserve">【ショート】</t>
    </r>
  </si>
  <si>
    <t xml:space="preserve">一口SCP：あなたはまだその真相を知らない実は恐ろしい誤解があった#99%の人が誤解するSCP-9999の恐怖 — 財団が隠した真実 #shorts #ゆっくり解説</t>
  </si>
  <si>
    <t xml:space="preserve">目を離した0.3秒で消えた——財団が記録ごと封印したSCP-099「空間歪曲体」の正体【ショート】</t>
  </si>
  <si>
    <t xml:space="preserve">一口SCP：財団が人類を『敵』と判断した日記録はすべて[DATA EXPUNGED]#財団が記録ごと封印したSCP-5000——17名の研究員が「なぜ？」と書き残して消えた理由 #shorts #ゆっ</t>
  </si>
  <si>
    <t xml:space="preserve">一口SCP：財団が隠し続けた目を離した瞬間、襲われる#目を離した瞬間、電流が襲う—財団が隠した『電子工作の悪夢』の正体 #shorts #ゆっくり解説</t>
  </si>
  <si>
    <t xml:space="preserve">一口SCP：2019年11月3日深夜0時、全サイトで同時に、人類殲滅プロトコルが起動した。#財団が隠し続けたSCP-5000の真実 —— 世界の終焉が始まる理由 #shorts #ゆっくり解説</t>
  </si>
  <si>
    <r>
      <rPr>
        <sz val="10"/>
        <rFont val="Arial"/>
        <family val="0"/>
        <charset val="1"/>
      </rPr>
      <t xml:space="preserve">SCP-173</t>
    </r>
    <r>
      <rPr>
        <sz val="10"/>
        <rFont val="Noto Sans CJK SC"/>
        <family val="2"/>
      </rPr>
      <t xml:space="preserve">が「首だけ」を折る理由——財団が</t>
    </r>
    <r>
      <rPr>
        <sz val="10"/>
        <rFont val="Arial"/>
        <family val="0"/>
        <charset val="1"/>
      </rPr>
      <t xml:space="preserve">17</t>
    </r>
    <r>
      <rPr>
        <sz val="10"/>
        <rFont val="Noto Sans CJK SC"/>
        <family val="2"/>
      </rPr>
      <t xml:space="preserve">年間隠し続けた殺傷メカニズムの正体【ショート】</t>
    </r>
  </si>
  <si>
    <t xml:space="preserve">一口SCP：17年間、財団データベースから抹消されていた施設生存者0名——記録だけが残った#財団が17年間隠し続けた——SCP-1730「消えたサイト-13」で何が起きたのか、本当の理由 #short</t>
  </si>
  <si>
    <t xml:space="preserve">一口SCP：17名が72時間以内に消えた財団が封印した「建物の悪夢」の正体#SCP-015に入った17名の職員が72時間以内に消えた——財団が封印し続ける「建物の悪夢」の本当の理由 #shorts #</t>
  </si>
  <si>
    <t xml:space="preserve">財団が17年間封印し続けた「SCP-XXXX」——43名が接触し、全員の記録が消えた本当の理由【ショート】</t>
  </si>
  <si>
    <t xml:space="preserve">一口SCP：記録を読んだ者が消える43年間、財団が隠し続けた装置の正体#財団が43年間封印し続けた「虚無の制御装置」——記録を読んだ17名が翌日から消えた本当の理由 #shorts #ゆっくり解説</t>
  </si>
  <si>
    <t xml:space="preserve">一口SCP：17名 全員消滅内部記録【REDACTED】#財団が17名の死亡記録を4行で隠蔽した——SCP-1730「廃墟サイト-13」に誰も近づけない本当の理由 #shorts #ゆっくり解説</t>
  </si>
  <si>
    <t xml:space="preserve">一口SCP：製造された恐怖17年間【REDACTED】#財団が17年間隠し続けた「製造記録」——SCP-1030、その収容の理由を誰も語らない本当の訳 #shorts #ゆっくり解説</t>
  </si>
  <si>
    <t xml:space="preserve">財団が17年間隠し続けた理由——SCP-1730「消えた施設」で3名が失踪した本当の正体【ショート】</t>
  </si>
  <si>
    <t xml:space="preserve">一口SCP：財団が隠し続けた「異常の起源」SCP-XXXX【なぜ、異常は生まれるのか】#財団が記録ごと封印した「異常誕生の法則」——なぜ存在してはならないものが、今この瞬間も生まれ続けるのか #sho</t>
  </si>
  <si>
    <t xml:space="preserve">一口SCP：停電0.3秒で全滅教室に173が紛れ込んだら？#SCP-173が日本の学校に現れたら、教室で何人死ぬか——財団が封印した最悪のシミュレーション #shorts #ゆっくり解説</t>
  </si>
  <si>
    <t xml:space="preserve">一口SCP：LEVEL 4 機密 / 財団内部資料感染確認から96時間で『人間』でなくなる#目を離した0.3秒で内側から書き換わる——SCP-217「時計仕掛けのウイルス」が人間を機械に変える本当の理</t>
  </si>
  <si>
    <t xml:space="preserve">一口SCP：瞬きの間に、17人が死んだLEVEL 4 機密｜財団内部資料【閲覧注意】#目を離した0.3秒で首を折られる——SCP-173が財団の隠し続けた『本当の恐怖』 #shorts #ゆっくり解説</t>
  </si>
  <si>
    <t xml:space="preserve">目を離した3秒で消えた——SCP-096「シャイガイ」が改造された本当の理由を財団は語らない【ショート】</t>
  </si>
  <si>
    <t xml:space="preserve">一口SCP：この報告書…読んだら後悔するかもしれない人類そのものが異常存在であるという結論に#財団が人類を殲滅し続けた真の理由——SCP-5000内部資料の驚愕の結論 #shorts #ゆっくり解説</t>
  </si>
  <si>
    <t xml:space="preserve">財団が17年間封印した『2つの計画』——人類を殺したのは、守るためだったのか【ショート】</t>
  </si>
  <si>
    <t xml:space="preserve">一口SCP：財団自身が『人類は異常存在』と結論した17年間、この記録は[DATA EXPUNGED]されていた#財団が17年間封印した——SCP-5000が『人類を殺す』と決定した本当の理由 #sho</t>
  </si>
  <si>
    <r>
      <rPr>
        <sz val="10"/>
        <rFont val="Arial"/>
        <family val="0"/>
        <charset val="1"/>
      </rPr>
      <t xml:space="preserve">SCP-871</t>
    </r>
    <r>
      <rPr>
        <sz val="10"/>
        <rFont val="Noto Sans CJK SC"/>
        <family val="2"/>
      </rPr>
      <t xml:space="preserve">「自己複製するケーキ」を</t>
    </r>
    <r>
      <rPr>
        <sz val="10"/>
        <rFont val="Arial"/>
        <family val="0"/>
        <charset val="1"/>
      </rPr>
      <t xml:space="preserve">SCP-914</t>
    </r>
    <r>
      <rPr>
        <sz val="10"/>
        <rFont val="Noto Sans CJK SC"/>
        <family val="2"/>
      </rPr>
      <t xml:space="preserve">で魔改造したら——財団が封印した実験ログの結末【ショート】</t>
    </r>
  </si>
  <si>
    <t xml:space="preserve">一口SCP：収容違反17時間／生存者0名財団が封印した『悪夢のデバイス』の正体#収容違反から17時間——SCP-1346「悪夢のデバイス」が財団施設で何をしたか、報告書は[DATA EXPUNGED]</t>
  </si>
  <si>
    <t xml:space="preserve">一口SCP：世界人口80億人→7億人 自動起動財団内部記録【閲覧権限O5以上】#SCP-5000が起動した48時間——あなたの街で財団が隠した『人類抹消プロトコル』の正体 #shorts #ゆっくり解</t>
  </si>
  <si>
    <t xml:space="preserve">一口SCP：視線を外したら——もう遅い財団が封印した『0.3秒の恐怖』#SCP-173——視線を外した0.3秒に、17名が消えた本当の理由 #shorts #ゆっくり解説</t>
  </si>
  <si>
    <t xml:space="preserve">財団が17年間封印した「選択の悪夢」——SCP-096に触れた職員が最後に見たものの正体【ショート】</t>
  </si>
  <si>
    <t xml:space="preserve">一口SCP：読んだだけで感染する——認識災害の正体財団が23年間封印し続けた「知識の呪い」#知った瞬間が終わりの始まり——SCP-1425「星の兆候」が17名の研究員を廃人にした本当の理由 #shor</t>
  </si>
  <si>
    <t xml:space="preserve">2026-07-27</t>
  </si>
  <si>
    <r>
      <rPr>
        <sz val="10"/>
        <rFont val="Arial"/>
        <family val="0"/>
        <charset val="1"/>
      </rPr>
      <t xml:space="preserve">SCP-</t>
    </r>
    <r>
      <rPr>
        <sz val="10"/>
        <rFont val="Noto Sans CJK SC"/>
        <family val="2"/>
      </rPr>
      <t xml:space="preserve">財団が隠し続けた</t>
    </r>
    <r>
      <rPr>
        <sz val="10"/>
        <rFont val="Arial"/>
        <family val="0"/>
        <charset val="1"/>
      </rPr>
      <t xml:space="preserve">D</t>
    </r>
    <r>
      <rPr>
        <sz val="10"/>
        <rFont val="Noto Sans CJK SC"/>
        <family val="2"/>
      </rPr>
      <t xml:space="preserve">クラスの真実——欲望と恐怖の狭間で消耗される人々【ショート】</t>
    </r>
  </si>
  <si>
    <t xml:space="preserve">収容違反の真実 — 人間が引き起こす異常の裏側【ショート】</t>
  </si>
  <si>
    <t xml:space="preserve">全長『測定不能』の深海巨大生物SCP-3000──記憶を溶かす怪物から搾り取られる物質Y-909の正体</t>
  </si>
  <si>
    <t xml:space="preserve">実は、見えるはずなのに見えない脅威が存在する理由【ショート】</t>
  </si>
  <si>
    <r>
      <rPr>
        <sz val="10"/>
        <rFont val="Arial"/>
        <family val="0"/>
        <charset val="1"/>
      </rPr>
      <t xml:space="preserve">SCP-XXXX</t>
    </r>
    <r>
      <rPr>
        <sz val="10"/>
        <rFont val="Noto Sans CJK SC"/>
        <family val="2"/>
      </rPr>
      <t xml:space="preserve">「デジタル錯覚」— ゲームに潜む不気味な異常とは？【ショート】</t>
    </r>
  </si>
  <si>
    <r>
      <rPr>
        <sz val="10"/>
        <rFont val="Arial"/>
        <family val="0"/>
        <charset val="1"/>
      </rPr>
      <t xml:space="preserve">GOC</t>
    </r>
    <r>
      <rPr>
        <sz val="10"/>
        <rFont val="Noto Sans CJK SC"/>
        <family val="2"/>
      </rPr>
      <t xml:space="preserve">と蛇の手の真実 — 異常存在に対する戦略の謎【ショート】</t>
    </r>
  </si>
  <si>
    <t xml:space="preserve">なぜ財団は48時間で限界を迎えるのか——SCP-2317『地獄の門』、封印違反5件の真実【ショート】</t>
  </si>
  <si>
    <t xml:space="preserve">なぜ生存率5%？『生ける死者』SCP-1440が財団を12回暴走させた本当の理由【ショート】</t>
  </si>
  <si>
    <t xml:space="preserve">電子工作で7人消えた…財団が封印した『悪夢の回路』だけ異常すぎる理由【ショート】</t>
  </si>
  <si>
    <t xml:space="preserve">一口SCP：生存率わずか1%収容違反8件の記録#収容違反8回、生存率1%——修理工場で財団が記録した『亡霊』の正体がヤバすぎる #shorts #ゆっくり解説</t>
  </si>
  <si>
    <t xml:space="preserve">財団が11回記録した『あのVHSテープ』——再生するたびに内容が変わる映像と、見た職員の記憶が消えていく本当の理由【ショート】</t>
  </si>
  <si>
    <t xml:space="preserve">一口SCP：収容違反から3時間／生存者0名財団が封印した『回路の悪夢』#電子工作中に17名が消えた——財団が「あの部品」を封印した本当の理由 #shorts #ゆっくり解説</t>
  </si>
  <si>
    <t xml:space="preserve">財団が23年間隠し続けた、41名が消えた「増え続ける部屋」の本当の理由【ショート】</t>
  </si>
  <si>
    <t xml:space="preserve">一口SCP：99%の人が知らない恐怖財団が23年間隠し続けた#財団が隠蔽したSCP-3125の恐怖: 生存者0名の理由 #shorts #ゆっくり解説</t>
  </si>
  <si>
    <t xml:space="preserve">財団が封印した感染者389名の村、帰還者2名だけが見た本当の理由【ショート】</t>
  </si>
  <si>
    <t xml:space="preserve">一口SCP：財団が人類を殲滅する側に!?隠された提言が今、暴かれる#財団が隠した『人類殲滅提言』の真実とは #shorts #ゆっくり解説</t>
  </si>
  <si>
    <t xml:space="preserve">一口SCP：収容違反：23名消滅遺体も血痕も残っていない#財団が17年間封印した「デジタルの監獄」— 収容違反で消えた研究員23名の正体 #shorts #ゆっくり解説</t>
  </si>
  <si>
    <t xml:space="preserve">一口SCP：財団が23年間隠し続けた見るだけで感染する謎感染者数317名、生存率わずか3%#財団が23年間隠した感染 SCP-XXXXの正体 #shorts #ゆっくり解説</t>
  </si>
  <si>
    <t xml:space="preserve">財団が31回の接触実験で隠し続けたSCP-198の正体——回収不能になった12名は今どこにいるのか【ショート】</t>
  </si>
  <si>
    <t xml:space="preserve">一口SCP：崇拝者が自然発生——収容できたのは『実体』ではなかった収容違反発生・職員接触者の生存率：記録抹消#財団が17年間隠し続けたSCP-2662——崇拝者が自然発生する施設、生存率0%の収容違反</t>
  </si>
  <si>
    <t xml:space="preserve">一口SCP：閲覧実験6件 / 帰還者0名【これが最後の通信記録だ】#財団が6年間封印したSCP-3007「世界の終わりを描く絵」— 閲覧実験6件、帰還できた職員は0名の真実 #shorts #ゆっくり</t>
  </si>
  <si>
    <t xml:space="preserve">財団が13年間隠し続けた「13名の改竄要求」SCP-2718死後記録の真実【ショート】</t>
  </si>
  <si>
    <t xml:space="preserve">一口SCP：目撃者47名／精神的生存率0%財団が17年間『視覚汚染』と呼んだ理由#財団が17年間隠し続けた視覚汚染体——目撃者全員が廃人化、生存率0%の本当の理由 #shorts #ゆっくり解説</t>
  </si>
  <si>
    <t xml:space="preserve">財団が23年間隠し続けた接近者19名・生存率0%——湖で名前を失った本当の理由【ショート】</t>
  </si>
  <si>
    <r>
      <rPr>
        <sz val="10"/>
        <rFont val="Arial"/>
        <family val="0"/>
        <charset val="1"/>
      </rPr>
      <t xml:space="preserve">SCP-2399</t>
    </r>
    <r>
      <rPr>
        <sz val="10"/>
        <rFont val="Noto Sans CJK SC"/>
        <family val="2"/>
      </rPr>
      <t xml:space="preserve">収容記録：地球まで</t>
    </r>
    <r>
      <rPr>
        <sz val="10"/>
        <rFont val="Arial"/>
        <family val="0"/>
        <charset val="1"/>
      </rPr>
      <t xml:space="preserve">72</t>
    </r>
    <r>
      <rPr>
        <sz val="10"/>
        <rFont val="Noto Sans CJK SC"/>
        <family val="2"/>
      </rPr>
      <t xml:space="preserve">時間、なぜ迎撃隊だけ全滅したのか【最後の軌道通信】【ショート】</t>
    </r>
  </si>
  <si>
    <r>
      <rPr>
        <sz val="10"/>
        <rFont val="Arial"/>
        <family val="0"/>
        <charset val="1"/>
      </rPr>
      <t xml:space="preserve">SCP-2845</t>
    </r>
    <r>
      <rPr>
        <sz val="10"/>
        <rFont val="Noto Sans CJK SC"/>
        <family val="2"/>
      </rPr>
      <t xml:space="preserve">収容記録：儀式が</t>
    </r>
    <r>
      <rPr>
        <sz val="10"/>
        <rFont val="Arial"/>
        <family val="0"/>
        <charset val="1"/>
      </rPr>
      <t xml:space="preserve">1</t>
    </r>
    <r>
      <rPr>
        <sz val="10"/>
        <rFont val="Noto Sans CJK SC"/>
        <family val="2"/>
      </rPr>
      <t xml:space="preserve">分遅れた夜、</t>
    </r>
    <r>
      <rPr>
        <sz val="10"/>
        <rFont val="Arial"/>
        <family val="0"/>
        <charset val="1"/>
      </rPr>
      <t xml:space="preserve">173</t>
    </r>
    <r>
      <rPr>
        <sz val="10"/>
        <rFont val="Noto Sans CJK SC"/>
        <family val="2"/>
      </rPr>
      <t xml:space="preserve">名はなぜか全員消えた【これが最後の名簿】【ショート】</t>
    </r>
  </si>
  <si>
    <r>
      <rPr>
        <sz val="10"/>
        <rFont val="Arial"/>
        <family val="0"/>
        <charset val="1"/>
      </rPr>
      <t xml:space="preserve">SCP-1690</t>
    </r>
    <r>
      <rPr>
        <sz val="10"/>
        <rFont val="Noto Sans CJK SC"/>
        <family val="2"/>
      </rPr>
      <t xml:space="preserve">「廃棄された文明の記録」— 発掘地点</t>
    </r>
    <r>
      <rPr>
        <sz val="10"/>
        <rFont val="Arial"/>
        <family val="0"/>
        <charset val="1"/>
      </rPr>
      <t xml:space="preserve">12</t>
    </r>
    <r>
      <rPr>
        <sz val="10"/>
        <rFont val="Noto Sans CJK SC"/>
        <family val="2"/>
      </rPr>
      <t xml:space="preserve">か所、通信断絶から</t>
    </r>
    <r>
      <rPr>
        <sz val="10"/>
        <rFont val="Arial"/>
        <family val="0"/>
        <charset val="1"/>
      </rPr>
      <t xml:space="preserve">83</t>
    </r>
    <r>
      <rPr>
        <sz val="10"/>
        <rFont val="Noto Sans CJK SC"/>
        <family val="2"/>
      </rPr>
      <t xml:space="preserve">年後に収容【ショート】</t>
    </r>
  </si>
  <si>
    <r>
      <rPr>
        <sz val="10"/>
        <rFont val="Arial"/>
        <family val="0"/>
        <charset val="1"/>
      </rPr>
      <t xml:space="preserve">SCP-701</t>
    </r>
    <r>
      <rPr>
        <sz val="10"/>
        <rFont val="Noto Sans CJK SC"/>
        <family val="2"/>
      </rPr>
      <t xml:space="preserve">「吊られた王の悲劇」— 上演記録</t>
    </r>
    <r>
      <rPr>
        <sz val="10"/>
        <rFont val="Arial"/>
        <family val="0"/>
        <charset val="1"/>
      </rPr>
      <t xml:space="preserve">14</t>
    </r>
    <r>
      <rPr>
        <sz val="10"/>
        <rFont val="Noto Sans CJK SC"/>
        <family val="2"/>
      </rPr>
      <t xml:space="preserve">件、観客の生存率は</t>
    </r>
    <r>
      <rPr>
        <sz val="10"/>
        <rFont val="Arial"/>
        <family val="0"/>
        <charset val="1"/>
      </rPr>
      <t xml:space="preserve">21%</t>
    </r>
    <r>
      <rPr>
        <sz val="10"/>
        <rFont val="Noto Sans CJK SC"/>
        <family val="2"/>
      </rPr>
      <t xml:space="preserve">【ショート】</t>
    </r>
  </si>
  <si>
    <r>
      <rPr>
        <sz val="10"/>
        <rFont val="Arial"/>
        <family val="0"/>
        <charset val="1"/>
      </rPr>
      <t xml:space="preserve">SCP-7004</t>
    </r>
    <r>
      <rPr>
        <sz val="10"/>
        <rFont val="Noto Sans CJK SC"/>
        <family val="2"/>
      </rPr>
      <t xml:space="preserve">「終末の観測者」— 収容都市は</t>
    </r>
    <r>
      <rPr>
        <sz val="10"/>
        <rFont val="Arial"/>
        <family val="0"/>
        <charset val="1"/>
      </rPr>
      <t xml:space="preserve">9</t>
    </r>
    <r>
      <rPr>
        <sz val="10"/>
        <rFont val="Noto Sans CJK SC"/>
        <family val="2"/>
      </rPr>
      <t xml:space="preserve">日で住民全員を失った【最後の記録】【ショート】</t>
    </r>
  </si>
  <si>
    <r>
      <rPr>
        <sz val="10"/>
        <rFont val="Arial"/>
        <family val="0"/>
        <charset val="1"/>
      </rPr>
      <t xml:space="preserve">SCP-055</t>
    </r>
    <r>
      <rPr>
        <sz val="10"/>
        <rFont val="Noto Sans CJK SC"/>
        <family val="2"/>
      </rPr>
      <t xml:space="preserve">の報告書に残った奇妙な空欄とは？【ショート】</t>
    </r>
  </si>
  <si>
    <r>
      <rPr>
        <sz val="10"/>
        <rFont val="Arial"/>
        <family val="0"/>
        <charset val="1"/>
      </rPr>
      <t xml:space="preserve">SCP-2525</t>
    </r>
    <r>
      <rPr>
        <sz val="10"/>
        <rFont val="Noto Sans CJK SC"/>
        <family val="2"/>
      </rPr>
      <t xml:space="preserve">「異常なゲーム」— 死亡記録</t>
    </r>
    <r>
      <rPr>
        <sz val="10"/>
        <rFont val="Arial"/>
        <family val="0"/>
        <charset val="1"/>
      </rPr>
      <t xml:space="preserve">23</t>
    </r>
    <r>
      <rPr>
        <sz val="10"/>
        <rFont val="Noto Sans CJK SC"/>
        <family val="2"/>
      </rPr>
      <t xml:space="preserve">件、勝利条件は未達成【ショート】</t>
    </r>
  </si>
  <si>
    <r>
      <rPr>
        <sz val="10"/>
        <rFont val="Arial"/>
        <family val="0"/>
        <charset val="1"/>
      </rPr>
      <t xml:space="preserve">SCP-682</t>
    </r>
    <r>
      <rPr>
        <sz val="10"/>
        <rFont val="Noto Sans CJK SC"/>
        <family val="2"/>
      </rPr>
      <t xml:space="preserve">の酸槽、記録に残らない変化が起きた【ショート】</t>
    </r>
  </si>
  <si>
    <t xml:space="preserve">触れた全員が笑う粘体、なぜSafeなのか？【ショート】</t>
  </si>
  <si>
    <t xml:space="preserve">一口SCP #91：⚠️SCP-1523-JP「かまいたち」— 被害記録17件、傷だけ残った夜【ショート】</t>
  </si>
  <si>
    <t xml:space="preserve">一口SCP #92：👁️SCP-3120「異常な戦闘機」— 試験飛行9回、操縦席から帰還した隊員は1名だった【ショート】</t>
  </si>
  <si>
    <r>
      <rPr>
        <sz val="10"/>
        <rFont val="Arial"/>
        <family val="0"/>
        <charset val="1"/>
      </rPr>
      <t xml:space="preserve">1</t>
    </r>
    <r>
      <rPr>
        <sz val="10"/>
        <rFont val="Noto Sans CJK SC"/>
        <family val="2"/>
      </rPr>
      <t xml:space="preserve">分妖怪ファイル：なぜ妖怪ウォッチだけ？主人公の秘密</t>
    </r>
    <r>
      <rPr>
        <sz val="10"/>
        <rFont val="Arial"/>
        <family val="0"/>
        <charset val="1"/>
      </rPr>
      <t xml:space="preserve">#</t>
    </r>
    <r>
      <rPr>
        <sz val="10"/>
        <rFont val="Noto Sans CJK SC"/>
        <family val="2"/>
      </rPr>
      <t xml:space="preserve">妖怪ウォッチで主人公だけが妖怪を見られる理由 </t>
    </r>
    <r>
      <rPr>
        <sz val="10"/>
        <rFont val="Arial"/>
        <family val="0"/>
        <charset val="1"/>
      </rPr>
      <t xml:space="preserve">#shorts #</t>
    </r>
    <r>
      <rPr>
        <sz val="10"/>
        <rFont val="Noto Sans CJK SC"/>
        <family val="2"/>
      </rPr>
      <t xml:space="preserve">ゆっくり解説</t>
    </r>
  </si>
  <si>
    <t xml:space="preserve">妖怪ウォッチの『都市伝説』、本当のところはどうなの？【ショート】</t>
  </si>
  <si>
    <t xml:space="preserve">妖怪の名前がダジャレなのはナゼか? 名前の裏に隠された秘密【ショート】</t>
  </si>
  <si>
    <r>
      <rPr>
        <sz val="10"/>
        <rFont val="Arial"/>
        <family val="0"/>
        <charset val="1"/>
      </rPr>
      <t xml:space="preserve">1</t>
    </r>
    <r>
      <rPr>
        <sz val="10"/>
        <rFont val="Noto Sans CJK SC"/>
        <family val="2"/>
      </rPr>
      <t xml:space="preserve">分妖怪ファイル：妖怪の名前がダジャレなのはナゼか</t>
    </r>
    <r>
      <rPr>
        <sz val="10"/>
        <rFont val="Arial"/>
        <family val="0"/>
        <charset val="1"/>
      </rPr>
      <t xml:space="preserve">?</t>
    </r>
  </si>
  <si>
    <t xml:space="preserve">なぜコマさんの秘密？神社の狛犬と田舎の意外なつながり【ショート】</t>
  </si>
  <si>
    <t xml:space="preserve">なぜ武士と猫が混ざった？ブシニャンの『本当のルーツ』が怖すぎる理由【ショート】</t>
  </si>
  <si>
    <t xml:space="preserve">ふぶき姫の可愛さはどこから？雪女伝承の“本当は怖い”正体とゲームの落差【ショート】</t>
  </si>
  <si>
    <t xml:space="preserve">なぜオロチはゲームで美化された？ヤマタノオロチ伝説の“本当は怖い”正体【ショート】</t>
  </si>
  <si>
    <t xml:space="preserve">妖怪ウォッチのエンマ大王、なぜか『本物』の閻魔と全然違う姿をしている【ショート】</t>
  </si>
  <si>
    <t xml:space="preserve">なぜロボニャンだけ未来から来た？隠された時系列の秘密【ショート】【ショート】</t>
  </si>
  <si>
    <t xml:space="preserve">妖怪ウォッチのランク、なぜSが最強じゃない妖怪にも付くのか　隠された格付けの本当のところ【ショート】</t>
  </si>
  <si>
    <t xml:space="preserve">一つ目小僧、なぜ江戸の文献では『会った者が帰らない』と書かれているのか【ショート】</t>
  </si>
  <si>
    <r>
      <rPr>
        <sz val="10"/>
        <rFont val="Arial"/>
        <family val="0"/>
        <charset val="1"/>
      </rPr>
      <t xml:space="preserve">1</t>
    </r>
    <r>
      <rPr>
        <sz val="10"/>
        <rFont val="Noto Sans CJK SC"/>
        <family val="2"/>
      </rPr>
      <t xml:space="preserve">分妖怪ファイル：その『設定』、江戸時代には存在しなかった昭和の妖怪本が作り上げた『総大将』の正体</t>
    </r>
    <r>
      <rPr>
        <sz val="10"/>
        <rFont val="Arial"/>
        <family val="0"/>
        <charset val="1"/>
      </rPr>
      <t xml:space="preserve">#</t>
    </r>
    <r>
      <rPr>
        <sz val="10"/>
        <rFont val="Noto Sans CJK SC"/>
        <family val="2"/>
      </rPr>
      <t xml:space="preserve">ぬらりひょんが『妖怪の総大将』なのは、なぜか誰も疑わなかったのか </t>
    </r>
    <r>
      <rPr>
        <sz val="10"/>
        <rFont val="Arial"/>
        <family val="0"/>
        <charset val="1"/>
      </rPr>
      <t xml:space="preserve">#shorts #</t>
    </r>
    <r>
      <rPr>
        <sz val="10"/>
        <rFont val="Noto Sans CJK SC"/>
        <family val="2"/>
      </rPr>
      <t xml:space="preserve">ゆっくり解説</t>
    </r>
  </si>
  <si>
    <t xml:space="preserve">なぜおでんじんだけ夜道に立つ？可愛い具に隠された秘密【ショート】【ショート】</t>
  </si>
  <si>
    <t xml:space="preserve">なぜツチノコは家に入る？隠された秘密【ショート】</t>
  </si>
  <si>
    <t xml:space="preserve">ねちがえる、なぜか夜だけ首を狙う？金縛りの奥にある古い怪異【ショート】</t>
  </si>
  <si>
    <t xml:space="preserve">河童はなぜか子どもだけを呼ぶ？水辺に残された「声」の本当の理由【ショート】</t>
  </si>
  <si>
    <t xml:space="preserve">のっぺらぼうの正体が怖すぎる — 顔を奪う怪談はなぜ生まれたのか【ショート】</t>
  </si>
  <si>
    <t xml:space="preserve">ふじのやまの元ネタが怖すぎる — 山に入った人が戻れなくなる禁忌【ショート】</t>
  </si>
  <si>
    <t xml:space="preserve">花子さんの正体 — なぜ学校のトイレで「三番目」なのか【ショート】</t>
  </si>
  <si>
    <t xml:space="preserve">鬼の元ネタが怖すぎる — 鬼門から来る者を家に入れてはいけない理由【ショート】</t>
  </si>
  <si>
    <t xml:space="preserve">海坊主の正体が怖すぎる — 船を沈める巨大な影は何だったのか【ショート】</t>
  </si>
  <si>
    <t xml:space="preserve">ぬらりひょんの正体が怖すぎる — なぜあなたの家に勝手に上がるのか【ショート】</t>
  </si>
  <si>
    <r>
      <rPr>
        <sz val="10"/>
        <rFont val="Arial"/>
        <family val="0"/>
        <charset val="1"/>
      </rPr>
      <t xml:space="preserve">1</t>
    </r>
    <r>
      <rPr>
        <sz val="10"/>
        <rFont val="Noto Sans CJK SC"/>
        <family val="2"/>
      </rPr>
      <t xml:space="preserve">分妖怪ファイル </t>
    </r>
    <r>
      <rPr>
        <sz val="10"/>
        <rFont val="Arial"/>
        <family val="0"/>
        <charset val="1"/>
      </rPr>
      <t xml:space="preserve">#7</t>
    </r>
    <r>
      <rPr>
        <sz val="10"/>
        <rFont val="Noto Sans CJK SC"/>
        <family val="2"/>
      </rPr>
      <t xml:space="preserve">：😰かまいたちの元ネタが怖すぎる — あなたが</t>
    </r>
    <r>
      <rPr>
        <sz val="10"/>
        <rFont val="Arial"/>
        <family val="0"/>
        <charset val="1"/>
      </rPr>
      <t xml:space="preserve">3</t>
    </r>
    <r>
      <rPr>
        <sz val="10"/>
        <rFont val="Noto Sans CJK SC"/>
        <family val="2"/>
      </rPr>
      <t xml:space="preserve">秒で傷つく理由は？【ショート】</t>
    </r>
  </si>
  <si>
    <r>
      <rPr>
        <sz val="10"/>
        <rFont val="Arial"/>
        <family val="0"/>
        <charset val="1"/>
      </rPr>
      <t xml:space="preserve">3</t>
    </r>
    <r>
      <rPr>
        <sz val="10"/>
        <rFont val="Noto Sans CJK SC"/>
        <family val="2"/>
      </rPr>
      <t xml:space="preserve">秒で消える？天狗と山伏、神隠しの本当の理由【ショート】</t>
    </r>
  </si>
  <si>
    <t xml:space="preserve">改善アクション 2026-08-24</t>
  </si>
  <si>
    <t xml:space="preserve">#</t>
  </si>
  <si>
    <t xml:space="preserve">状態</t>
  </si>
  <si>
    <t xml:space="preserve">対象</t>
  </si>
  <si>
    <t xml:space="preserve">施策</t>
  </si>
  <si>
    <t xml:space="preserve">根拠（実データ）</t>
  </si>
  <si>
    <t xml:space="preserve">検証方法・期限</t>
  </si>
  <si>
    <t xml:space="preserve">実施済</t>
  </si>
  <si>
    <t xml:space="preserve">全5ch</t>
  </si>
  <si>
    <t xml:space="preserve">台本8行目CTAに「高評価」を追加し登録より前に置く</t>
  </si>
  <si>
    <t xml:space="preserve">成熟動画245本をch内中央値で二分。高評価率上位群の登録/1000再生=0.65、下位群=0.30（2.16倍）。5chのうち4chで同方向。</t>
  </si>
  <si>
    <r>
      <rPr>
        <sz val="10"/>
        <rFont val="Arial"/>
        <family val="0"/>
        <charset val="1"/>
      </rPr>
      <t xml:space="preserve">08-31</t>
    </r>
    <r>
      <rPr>
        <sz val="10"/>
        <rFont val="Noto Sans CJK SC"/>
        <family val="2"/>
      </rPr>
      <t xml:space="preserve">に</t>
    </r>
    <r>
      <rPr>
        <sz val="10"/>
        <rFont val="Arial"/>
        <family val="0"/>
        <charset val="1"/>
      </rPr>
      <t xml:space="preserve">08-25</t>
    </r>
    <r>
      <rPr>
        <sz val="10"/>
        <rFont val="Noto Sans CJK SC"/>
        <family val="2"/>
      </rPr>
      <t xml:space="preserve">以降公開分の高評価率中央値を比較。</t>
    </r>
    <r>
      <rPr>
        <sz val="10"/>
        <rFont val="Arial"/>
        <family val="0"/>
        <charset val="1"/>
      </rPr>
      <t xml:space="preserve">0.30%→0.40%</t>
    </r>
    <r>
      <rPr>
        <sz val="10"/>
        <rFont val="Noto Sans CJK SC"/>
        <family val="2"/>
      </rPr>
      <t xml:space="preserve">未満なら施策を撤回。</t>
    </r>
  </si>
  <si>
    <r>
      <rPr>
        <sz val="10"/>
        <rFont val="Arial"/>
        <family val="0"/>
        <charset val="1"/>
      </rPr>
      <t xml:space="preserve">8</t>
    </r>
    <r>
      <rPr>
        <sz val="10"/>
        <rFont val="Noto Sans CJK SC"/>
        <family val="2"/>
      </rPr>
      <t xml:space="preserve">行目</t>
    </r>
    <r>
      <rPr>
        <sz val="10"/>
        <rFont val="Arial"/>
        <family val="0"/>
        <charset val="1"/>
      </rPr>
      <t xml:space="preserve">CTA</t>
    </r>
    <r>
      <rPr>
        <sz val="10"/>
        <rFont val="Noto Sans CJK SC"/>
        <family val="2"/>
      </rPr>
      <t xml:space="preserve">を新設（共感→高評価、答えはコメントへ）</t>
    </r>
  </si>
  <si>
    <t xml:space="preserve">登録/1000再生 0.21・高評価率0.22%で全ch最低。一方コメント率0.21は全ch最高で参加性はある。CTA行が構造に存在しなかった。</t>
  </si>
  <si>
    <t xml:space="preserve">同上。コメント率と高評価率を同時に追う。</t>
  </si>
  <si>
    <r>
      <rPr>
        <sz val="10"/>
        <rFont val="Arial"/>
        <family val="0"/>
        <charset val="1"/>
      </rPr>
      <t xml:space="preserve">total_chars_min 240→260 </t>
    </r>
    <r>
      <rPr>
        <sz val="10"/>
        <rFont val="Noto Sans CJK SC"/>
        <family val="2"/>
      </rPr>
      <t xml:space="preserve">に復帰</t>
    </r>
  </si>
  <si>
    <r>
      <rPr>
        <sz val="10"/>
        <rFont val="Arial"/>
        <family val="0"/>
        <charset val="1"/>
      </rPr>
      <t xml:space="preserve">08-23</t>
    </r>
    <r>
      <rPr>
        <sz val="10"/>
        <rFont val="Noto Sans CJK SC"/>
        <family val="2"/>
      </rPr>
      <t xml:space="preserve">に維持率改善目的で短縮したが、維持率は登録</t>
    </r>
    <r>
      <rPr>
        <sz val="10"/>
        <rFont val="Arial"/>
        <family val="0"/>
        <charset val="1"/>
      </rPr>
      <t xml:space="preserve">(1.14</t>
    </r>
    <r>
      <rPr>
        <sz val="10"/>
        <rFont val="Noto Sans CJK SC"/>
        <family val="2"/>
      </rPr>
      <t xml:space="preserve">倍</t>
    </r>
    <r>
      <rPr>
        <sz val="10"/>
        <rFont val="Arial"/>
        <family val="0"/>
        <charset val="1"/>
      </rPr>
      <t xml:space="preserve">)</t>
    </r>
    <r>
      <rPr>
        <sz val="10"/>
        <rFont val="Noto Sans CJK SC"/>
        <family val="2"/>
      </rPr>
      <t xml:space="preserve">にもリーチ</t>
    </r>
    <r>
      <rPr>
        <sz val="10"/>
        <rFont val="Arial"/>
        <family val="0"/>
        <charset val="1"/>
      </rPr>
      <t xml:space="preserve">(</t>
    </r>
    <r>
      <rPr>
        <sz val="10"/>
        <rFont val="Noto Sans CJK SC"/>
        <family val="2"/>
      </rPr>
      <t xml:space="preserve">四分位で平坦</t>
    </r>
    <r>
      <rPr>
        <sz val="10"/>
        <rFont val="Arial"/>
        <family val="0"/>
        <charset val="1"/>
      </rPr>
      <t xml:space="preserve">)</t>
    </r>
    <r>
      <rPr>
        <sz val="10"/>
        <rFont val="Noto Sans CJK SC"/>
        <family val="2"/>
      </rPr>
      <t xml:space="preserve">にも効かないと判明し根拠が消滅。</t>
    </r>
    <r>
      <rPr>
        <sz val="10"/>
        <rFont val="Arial"/>
        <family val="0"/>
        <charset val="1"/>
      </rPr>
      <t xml:space="preserve">test_short_format </t>
    </r>
    <r>
      <rPr>
        <sz val="10"/>
        <rFont val="Noto Sans CJK SC"/>
        <family val="2"/>
      </rPr>
      <t xml:space="preserve">も下限割れで赤だった。</t>
    </r>
  </si>
  <si>
    <r>
      <rPr>
        <sz val="10"/>
        <rFont val="Arial"/>
        <family val="0"/>
        <charset val="1"/>
      </rPr>
      <t xml:space="preserve">backend/tests/test_short_format.py </t>
    </r>
    <r>
      <rPr>
        <sz val="10"/>
        <rFont val="Noto Sans CJK SC"/>
        <family val="2"/>
      </rPr>
      <t xml:space="preserve">の </t>
    </r>
    <r>
      <rPr>
        <sz val="10"/>
        <rFont val="Arial"/>
        <family val="0"/>
        <charset val="1"/>
      </rPr>
      <t xml:space="preserve">test_short_channels_target_the_sweet_spot </t>
    </r>
    <r>
      <rPr>
        <sz val="10"/>
        <rFont val="Noto Sans CJK SC"/>
        <family val="2"/>
      </rPr>
      <t xml:space="preserve">が緑になったことを確認済。</t>
    </r>
  </si>
  <si>
    <t xml:space="preserve">pokemon-lab / yokai-watch / daily-science</t>
  </si>
  <si>
    <t xml:space="preserve">テーマキューを実測上位パターンで補充（計7件）</t>
  </si>
  <si>
    <r>
      <rPr>
        <sz val="10"/>
        <rFont val="Arial"/>
        <family val="0"/>
        <charset val="1"/>
      </rPr>
      <t xml:space="preserve">pokemon-lab </t>
    </r>
    <r>
      <rPr>
        <sz val="10"/>
        <rFont val="Noto Sans CJK SC"/>
        <family val="2"/>
      </rPr>
      <t xml:space="preserve">は対決型が最高実績（バンギラス</t>
    </r>
    <r>
      <rPr>
        <sz val="10"/>
        <rFont val="Arial"/>
        <family val="0"/>
        <charset val="1"/>
      </rPr>
      <t xml:space="preserve">vs</t>
    </r>
    <r>
      <rPr>
        <sz val="10"/>
        <rFont val="Noto Sans CJK SC"/>
        <family val="2"/>
      </rPr>
      <t xml:space="preserve">メタグロス</t>
    </r>
    <r>
      <rPr>
        <sz val="10"/>
        <rFont val="Arial"/>
        <family val="0"/>
        <charset val="1"/>
      </rPr>
      <t xml:space="preserve">1971</t>
    </r>
    <r>
      <rPr>
        <sz val="10"/>
        <rFont val="Noto Sans CJK SC"/>
        <family val="2"/>
      </rPr>
      <t xml:space="preserve">再生 </t>
    </r>
    <r>
      <rPr>
        <sz val="10"/>
        <rFont val="Arial"/>
        <family val="0"/>
        <charset val="1"/>
      </rPr>
      <t xml:space="preserve">/ </t>
    </r>
    <r>
      <rPr>
        <sz val="10"/>
        <rFont val="Noto Sans CJK SC"/>
        <family val="2"/>
      </rPr>
      <t xml:space="preserve">リザードン</t>
    </r>
    <r>
      <rPr>
        <sz val="10"/>
        <rFont val="Arial"/>
        <family val="0"/>
        <charset val="1"/>
      </rPr>
      <t xml:space="preserve">vs</t>
    </r>
    <r>
      <rPr>
        <sz val="10"/>
        <rFont val="Noto Sans CJK SC"/>
        <family val="2"/>
      </rPr>
      <t xml:space="preserve">カイリュー維持</t>
    </r>
    <r>
      <rPr>
        <sz val="10"/>
        <rFont val="Arial"/>
        <family val="0"/>
        <charset val="1"/>
      </rPr>
      <t xml:space="preserve">70.9%</t>
    </r>
    <r>
      <rPr>
        <sz val="10"/>
        <rFont val="Noto Sans CJK SC"/>
        <family val="2"/>
      </rPr>
      <t xml:space="preserve">）。「隠された</t>
    </r>
    <r>
      <rPr>
        <sz val="10"/>
        <rFont val="Arial"/>
        <family val="0"/>
        <charset val="1"/>
      </rPr>
      <t xml:space="preserve">/</t>
    </r>
    <r>
      <rPr>
        <sz val="10"/>
        <rFont val="Noto Sans CJK SC"/>
        <family val="2"/>
      </rPr>
      <t xml:space="preserve">秘密」</t>
    </r>
    <r>
      <rPr>
        <sz val="10"/>
        <rFont val="Arial"/>
        <family val="0"/>
        <charset val="1"/>
      </rPr>
      <t xml:space="preserve">+</t>
    </r>
    <r>
      <rPr>
        <sz val="10"/>
        <rFont val="Noto Sans CJK SC"/>
        <family val="2"/>
      </rPr>
      <t xml:space="preserve">具体数字の型は登録</t>
    </r>
    <r>
      <rPr>
        <sz val="10"/>
        <rFont val="Arial"/>
        <family val="0"/>
        <charset val="1"/>
      </rPr>
      <t xml:space="preserve">/1000</t>
    </r>
    <r>
      <rPr>
        <sz val="10"/>
        <rFont val="Noto Sans CJK SC"/>
        <family val="2"/>
      </rPr>
      <t xml:space="preserve">再生 </t>
    </r>
    <r>
      <rPr>
        <sz val="10"/>
        <rFont val="Arial"/>
        <family val="0"/>
        <charset val="1"/>
      </rPr>
      <t xml:space="preserve">0.70 </t>
    </r>
    <r>
      <rPr>
        <sz val="10"/>
        <rFont val="Noto Sans CJK SC"/>
        <family val="2"/>
      </rPr>
      <t xml:space="preserve">対 </t>
    </r>
    <r>
      <rPr>
        <sz val="10"/>
        <rFont val="Arial"/>
        <family val="0"/>
        <charset val="1"/>
      </rPr>
      <t xml:space="preserve">0.41</t>
    </r>
    <r>
      <rPr>
        <sz val="10"/>
        <rFont val="Noto Sans CJK SC"/>
        <family val="2"/>
      </rPr>
      <t xml:space="preserve">。</t>
    </r>
  </si>
  <si>
    <t xml:space="preserve">投入テーマの公開後6日で登録/1000再生を既存平均と比較。</t>
  </si>
  <si>
    <t xml:space="preserve">要手動</t>
  </si>
  <si>
    <t xml:space="preserve">バックエンド</t>
  </si>
  <si>
    <t xml:space="preserve">設定反映のため1回の再起動（またはconfig reload）</t>
  </si>
  <si>
    <r>
      <rPr>
        <sz val="10"/>
        <rFont val="Arial"/>
        <family val="0"/>
        <charset val="1"/>
      </rPr>
      <t xml:space="preserve">ChannelManager </t>
    </r>
    <r>
      <rPr>
        <sz val="10"/>
        <rFont val="Noto Sans CJK SC"/>
        <family val="2"/>
      </rPr>
      <t xml:space="preserve">は起動時に </t>
    </r>
    <r>
      <rPr>
        <sz val="10"/>
        <rFont val="Arial"/>
        <family val="0"/>
        <charset val="1"/>
      </rPr>
      <t xml:space="preserve">data/channels/*.json </t>
    </r>
    <r>
      <rPr>
        <sz val="10"/>
        <rFont val="Noto Sans CJK SC"/>
        <family val="2"/>
      </rPr>
      <t xml:space="preserve">をメモリへ読み込み、</t>
    </r>
    <r>
      <rPr>
        <sz val="10"/>
        <rFont val="Arial"/>
        <family val="0"/>
        <charset val="1"/>
      </rPr>
      <t xml:space="preserve">reload </t>
    </r>
    <r>
      <rPr>
        <sz val="10"/>
        <rFont val="Noto Sans CJK SC"/>
        <family val="2"/>
      </rPr>
      <t xml:space="preserve">は</t>
    </r>
    <r>
      <rPr>
        <sz val="10"/>
        <rFont val="Arial"/>
        <family val="0"/>
        <charset val="1"/>
      </rPr>
      <t xml:space="preserve">API</t>
    </r>
    <r>
      <rPr>
        <sz val="10"/>
        <rFont val="Noto Sans CJK SC"/>
        <family val="2"/>
      </rPr>
      <t xml:space="preserve">経由でしか起きない。本日の変更は再起動まで台本生成に反映されない。</t>
    </r>
  </si>
  <si>
    <r>
      <rPr>
        <sz val="10"/>
        <rFont val="Arial"/>
        <family val="0"/>
        <charset val="1"/>
      </rPr>
      <t xml:space="preserve">restart_backend.command </t>
    </r>
    <r>
      <rPr>
        <sz val="10"/>
        <rFont val="Noto Sans CJK SC"/>
        <family val="2"/>
      </rPr>
      <t xml:space="preserve">を実行。次回 </t>
    </r>
    <r>
      <rPr>
        <sz val="10"/>
        <rFont val="Arial"/>
        <family val="0"/>
        <charset val="1"/>
      </rPr>
      <t xml:space="preserve">autopilot </t>
    </r>
    <r>
      <rPr>
        <sz val="10"/>
        <rFont val="Noto Sans CJK SC"/>
        <family val="2"/>
      </rPr>
      <t xml:space="preserve">発火は本日</t>
    </r>
    <r>
      <rPr>
        <sz val="10"/>
        <rFont val="Arial"/>
        <family val="0"/>
        <charset val="1"/>
      </rPr>
      <t xml:space="preserve">17:00 JST</t>
    </r>
    <r>
      <rPr>
        <sz val="10"/>
        <rFont val="Noto Sans CJK SC"/>
        <family val="2"/>
      </rPr>
      <t xml:space="preserve">。</t>
    </r>
  </si>
  <si>
    <t xml:space="preserve">方針変更</t>
  </si>
  <si>
    <t xml:space="preserve">全ch</t>
  </si>
  <si>
    <t xml:space="preserve">維持率を主指標から外し、高評価・コメント誘導に振り替える（維持率は監視項目として継続）</t>
  </si>
  <si>
    <t xml:space="preserve">維持率→登録 1.14倍、維持率→再生 は四分位で 946/1015/976/973 と平坦。ただし並べ替え検定 p=0.23 で「効果なし」の証明ではなく検出力不足。維持率は棄却しない。</t>
  </si>
  <si>
    <r>
      <rPr>
        <sz val="10"/>
        <rFont val="Arial"/>
        <family val="0"/>
        <charset val="1"/>
      </rPr>
      <t xml:space="preserve">2</t>
    </r>
    <r>
      <rPr>
        <sz val="10"/>
        <rFont val="Noto Sans CJK SC"/>
        <family val="2"/>
      </rPr>
      <t xml:space="preserve">週間分の実績で再検証。本数が増えて検出力が上がった時点で再判定する。</t>
    </r>
  </si>
  <si>
    <t xml:space="preserve">方法論</t>
  </si>
  <si>
    <t xml:space="preserve">分析基盤</t>
  </si>
  <si>
    <t xml:space="preserve">維持率の比較窓を「公開6日以上」に固定</t>
  </si>
  <si>
    <t xml:space="preserve">同一動画の維持率は公開2日目48.5%→6日目55.6%まで上昇して頭打ち。直近動画をそのまま比較すると必ず「維持率が下がった」と誤読する。</t>
  </si>
  <si>
    <t xml:space="preserve">本レポート以降の全集計に適用済（動画別シートの「成熟」列）。</t>
  </si>
  <si>
    <t xml:space="preserve">タイトル規則</t>
  </si>
  <si>
    <t xml:space="preserve">「なぜ」型は維持（見かけ上のマイナスは交絡）</t>
  </si>
  <si>
    <t xml:space="preserve">単純比較では なぜ有 0.42 &lt; なぜ無 0.54 だが、チャンネル×公開月で層別すると なぜ有 0.41 &gt; なぜ無 0.31 と逆転（7層すべてで有≧無）。Simpsonのパラドックス。</t>
  </si>
  <si>
    <t xml:space="preserve">層別比較を標準手順とする。単純二群比較のみでの規則変更は禁止。</t>
  </si>
  <si>
    <t xml:space="preserve">保留</t>
  </si>
  <si>
    <t xml:space="preserve">タイトル短縮（70字→38字）の是非は判定しない</t>
  </si>
  <si>
    <t xml:space="preserve">移行期(07/20-08/23)のch内比較では 短(≤45字) 登録/1000再生 0.73 対 長(≥60字) 0.42 で短い方が良い。一方 高評価率は 0.35% 対 0.37% で差なし。8月の高評価率低下をタイトル長では説明できない。</t>
  </si>
  <si>
    <t xml:space="preserve">施策1の効果が出たあとに再評価。今は変更しない。</t>
  </si>
  <si>
    <t xml:space="preserve">監視</t>
  </si>
  <si>
    <r>
      <rPr>
        <sz val="10"/>
        <rFont val="Arial"/>
        <family val="0"/>
        <charset val="1"/>
      </rPr>
      <t xml:space="preserve">08-10</t>
    </r>
    <r>
      <rPr>
        <sz val="10"/>
        <rFont val="Noto Sans CJK SC"/>
        <family val="2"/>
      </rPr>
      <t xml:space="preserve">週の登録</t>
    </r>
    <r>
      <rPr>
        <sz val="10"/>
        <rFont val="Arial"/>
        <family val="0"/>
        <charset val="1"/>
      </rPr>
      <t xml:space="preserve">/1000</t>
    </r>
    <r>
      <rPr>
        <sz val="10"/>
        <rFont val="Noto Sans CJK SC"/>
        <family val="2"/>
      </rPr>
      <t xml:space="preserve">再生 </t>
    </r>
    <r>
      <rPr>
        <sz val="10"/>
        <rFont val="Arial"/>
        <family val="0"/>
        <charset val="1"/>
      </rPr>
      <t xml:space="preserve">0.27</t>
    </r>
    <r>
      <rPr>
        <sz val="10"/>
        <rFont val="Noto Sans CJK SC"/>
        <family val="2"/>
      </rPr>
      <t xml:space="preserve">（前週まで</t>
    </r>
    <r>
      <rPr>
        <sz val="10"/>
        <rFont val="Arial"/>
        <family val="0"/>
        <charset val="1"/>
      </rPr>
      <t xml:space="preserve">0.47-0.69</t>
    </r>
    <r>
      <rPr>
        <sz val="10"/>
        <rFont val="Noto Sans CJK SC"/>
        <family val="2"/>
      </rPr>
      <t xml:space="preserve">）</t>
    </r>
  </si>
  <si>
    <t xml:space="preserve">同じ週の再生中央値は1238で期間中最高。リーチは伸びているのに登録に変換できていない。高評価率も0.27%で最低。</t>
  </si>
  <si>
    <r>
      <rPr>
        <sz val="10"/>
        <rFont val="Arial"/>
        <family val="0"/>
        <charset val="1"/>
      </rPr>
      <t xml:space="preserve">08-17</t>
    </r>
    <r>
      <rPr>
        <sz val="10"/>
        <rFont val="Noto Sans CJK SC"/>
        <family val="2"/>
      </rPr>
      <t xml:space="preserve">週以降は経過日数不足でまだ判定不能。</t>
    </r>
    <r>
      <rPr>
        <sz val="10"/>
        <rFont val="Arial"/>
        <family val="0"/>
        <charset val="1"/>
      </rPr>
      <t xml:space="preserve">08-27</t>
    </r>
    <r>
      <rPr>
        <sz val="10"/>
        <rFont val="Noto Sans CJK SC"/>
        <family val="2"/>
      </rPr>
      <t xml:space="preserve">に再集計する。</t>
    </r>
  </si>
  <si>
    <t xml:space="preserve">注意</t>
  </si>
  <si>
    <r>
      <rPr>
        <b val="true"/>
        <sz val="10"/>
        <color rgb="FFC00000"/>
        <rFont val="Noto Sans CJK SC"/>
        <family val="2"/>
      </rPr>
      <t xml:space="preserve">施策</t>
    </r>
    <r>
      <rPr>
        <b val="true"/>
        <sz val="10"/>
        <color rgb="FFC00000"/>
        <rFont val="Arial"/>
        <family val="0"/>
        <charset val="1"/>
      </rPr>
      <t xml:space="preserve">1</t>
    </r>
    <r>
      <rPr>
        <b val="true"/>
        <sz val="10"/>
        <color rgb="FFC00000"/>
        <rFont val="Noto Sans CJK SC"/>
        <family val="2"/>
      </rPr>
      <t xml:space="preserve">・</t>
    </r>
    <r>
      <rPr>
        <b val="true"/>
        <sz val="10"/>
        <color rgb="FFC00000"/>
        <rFont val="Arial"/>
        <family val="0"/>
        <charset val="1"/>
      </rPr>
      <t xml:space="preserve">2</t>
    </r>
    <r>
      <rPr>
        <b val="true"/>
        <sz val="10"/>
        <color rgb="FFC00000"/>
        <rFont val="Noto Sans CJK SC"/>
        <family val="2"/>
      </rPr>
      <t xml:space="preserve">・</t>
    </r>
    <r>
      <rPr>
        <b val="true"/>
        <sz val="10"/>
        <color rgb="FFC00000"/>
        <rFont val="Arial"/>
        <family val="0"/>
        <charset val="1"/>
      </rPr>
      <t xml:space="preserve">6</t>
    </r>
    <r>
      <rPr>
        <b val="true"/>
        <sz val="10"/>
        <color rgb="FFC00000"/>
        <rFont val="Noto Sans CJK SC"/>
        <family val="2"/>
      </rPr>
      <t xml:space="preserve">の根拠である「高評価率</t>
    </r>
    <r>
      <rPr>
        <b val="true"/>
        <sz val="10"/>
        <color rgb="FFC00000"/>
        <rFont val="Arial"/>
        <family val="0"/>
        <charset val="1"/>
      </rPr>
      <t xml:space="preserve">2.16</t>
    </r>
    <r>
      <rPr>
        <b val="true"/>
        <sz val="10"/>
        <color rgb="FFC00000"/>
        <rFont val="Noto Sans CJK SC"/>
        <family val="2"/>
      </rPr>
      <t xml:space="preserve">倍」は</t>
    </r>
    <r>
      <rPr>
        <b val="true"/>
        <sz val="10"/>
        <color rgb="FFC00000"/>
        <rFont val="Arial"/>
        <family val="0"/>
        <charset val="1"/>
      </rPr>
      <t xml:space="preserve">95%</t>
    </r>
    <r>
      <rPr>
        <b val="true"/>
        <sz val="10"/>
        <color rgb="FFC00000"/>
        <rFont val="Noto Sans CJK SC"/>
        <family val="2"/>
      </rPr>
      <t xml:space="preserve">信頼区間 </t>
    </r>
    <r>
      <rPr>
        <b val="true"/>
        <sz val="10"/>
        <color rgb="FFC00000"/>
        <rFont val="Arial"/>
        <family val="0"/>
        <charset val="1"/>
      </rPr>
      <t xml:space="preserve">1.43</t>
    </r>
    <r>
      <rPr>
        <b val="true"/>
        <sz val="10"/>
        <color rgb="FFC00000"/>
        <rFont val="Noto Sans CJK SC"/>
        <family val="2"/>
      </rPr>
      <t xml:space="preserve">〜</t>
    </r>
    <r>
      <rPr>
        <b val="true"/>
        <sz val="10"/>
        <color rgb="FFC00000"/>
        <rFont val="Arial"/>
        <family val="0"/>
        <charset val="1"/>
      </rPr>
      <t xml:space="preserve">3.40 </t>
    </r>
    <r>
      <rPr>
        <b val="true"/>
        <sz val="10"/>
        <color rgb="FFC00000"/>
        <rFont val="Noto Sans CJK SC"/>
        <family val="2"/>
      </rPr>
      <t xml:space="preserve">の点推定であり、因果は未検証。登録</t>
    </r>
    <r>
      <rPr>
        <b val="true"/>
        <sz val="10"/>
        <color rgb="FFC00000"/>
        <rFont val="Arial"/>
        <family val="0"/>
        <charset val="1"/>
      </rPr>
      <t xml:space="preserve">126</t>
    </r>
    <r>
      <rPr>
        <b val="true"/>
        <sz val="10"/>
        <color rgb="FFC00000"/>
        <rFont val="Noto Sans CJK SC"/>
        <family val="2"/>
      </rPr>
      <t xml:space="preserve">人のうち</t>
    </r>
    <r>
      <rPr>
        <b val="true"/>
        <sz val="10"/>
        <color rgb="FFC00000"/>
        <rFont val="Arial"/>
        <family val="0"/>
        <charset val="1"/>
      </rPr>
      <t xml:space="preserve">53%</t>
    </r>
    <r>
      <rPr>
        <b val="true"/>
        <sz val="10"/>
        <color rgb="FFC00000"/>
        <rFont val="Noto Sans CJK SC"/>
        <family val="2"/>
      </rPr>
      <t xml:space="preserve">が</t>
    </r>
    <r>
      <rPr>
        <b val="true"/>
        <sz val="10"/>
        <color rgb="FFC00000"/>
        <rFont val="Arial"/>
        <family val="0"/>
        <charset val="1"/>
      </rPr>
      <t xml:space="preserve">scp-lab</t>
    </r>
    <r>
      <rPr>
        <b val="true"/>
        <sz val="10"/>
        <color rgb="FFC00000"/>
        <rFont val="Noto Sans CJK SC"/>
        <family val="2"/>
      </rPr>
      <t xml:space="preserve">単独で、</t>
    </r>
    <r>
      <rPr>
        <b val="true"/>
        <sz val="10"/>
        <color rgb="FFC00000"/>
        <rFont val="Arial"/>
        <family val="0"/>
        <charset val="1"/>
      </rPr>
      <t xml:space="preserve">pokemon-lab</t>
    </r>
    <r>
      <rPr>
        <b val="true"/>
        <sz val="10"/>
        <color rgb="FFC00000"/>
        <rFont val="Noto Sans CJK SC"/>
        <family val="2"/>
      </rPr>
      <t xml:space="preserve">では逆転している。</t>
    </r>
    <r>
      <rPr>
        <b val="true"/>
        <sz val="10"/>
        <color rgb="FFC00000"/>
        <rFont val="Arial"/>
        <family val="0"/>
        <charset val="1"/>
      </rPr>
      <t xml:space="preserve">08-31</t>
    </r>
    <r>
      <rPr>
        <b val="true"/>
        <sz val="10"/>
        <color rgb="FFC00000"/>
        <rFont val="Noto Sans CJK SC"/>
        <family val="2"/>
      </rPr>
      <t xml:space="preserve">の実測で判定するまで確定扱いしないこと。</t>
    </r>
  </si>
  <si>
    <t xml:space="preserve">トレンド</t>
  </si>
  <si>
    <t xml:space="preserve">■ 週次推移（成熟動画のみ・公開週で集計）</t>
  </si>
  <si>
    <t xml:space="preserve">公開週(月曜)</t>
  </si>
  <si>
    <t xml:space="preserve">本数</t>
  </si>
  <si>
    <t xml:space="preserve">2026-06-22</t>
  </si>
  <si>
    <r>
      <rPr>
        <i val="true"/>
        <sz val="9"/>
        <color rgb="FF666666"/>
        <rFont val="Arial"/>
        <family val="0"/>
        <charset val="1"/>
      </rPr>
      <t xml:space="preserve">※ 08-17</t>
    </r>
    <r>
      <rPr>
        <i val="true"/>
        <sz val="9"/>
        <color rgb="FF666666"/>
        <rFont val="Noto Sans CJK SC"/>
        <family val="2"/>
      </rPr>
      <t xml:space="preserve">週は </t>
    </r>
    <r>
      <rPr>
        <i val="true"/>
        <sz val="9"/>
        <color rgb="FF666666"/>
        <rFont val="Arial"/>
        <family val="0"/>
        <charset val="1"/>
      </rPr>
      <t xml:space="preserve">n=9 </t>
    </r>
    <r>
      <rPr>
        <i val="true"/>
        <sz val="9"/>
        <color rgb="FF666666"/>
        <rFont val="Noto Sans CJK SC"/>
        <family val="2"/>
      </rPr>
      <t xml:space="preserve">で経過日数も不足。登録</t>
    </r>
    <r>
      <rPr>
        <i val="true"/>
        <sz val="9"/>
        <color rgb="FF666666"/>
        <rFont val="Arial"/>
        <family val="0"/>
        <charset val="1"/>
      </rPr>
      <t xml:space="preserve">0</t>
    </r>
    <r>
      <rPr>
        <i val="true"/>
        <sz val="9"/>
        <color rgb="FF666666"/>
        <rFont val="Noto Sans CJK SC"/>
        <family val="2"/>
      </rPr>
      <t xml:space="preserve">は「まだ計上されていない」であり実績ではない。</t>
    </r>
  </si>
  <si>
    <t xml:space="preserve">■ 維持率の成熟カーブ（同一動画を日次で追跡・08-05以降公開分）</t>
  </si>
  <si>
    <t xml:space="preserve">公開からの経過日</t>
  </si>
  <si>
    <t xml:space="preserve">サンプル数</t>
  </si>
  <si>
    <r>
      <rPr>
        <i val="true"/>
        <sz val="9"/>
        <color rgb="FF666666"/>
        <rFont val="Arial"/>
        <family val="0"/>
        <charset val="1"/>
      </rPr>
      <t xml:space="preserve">2</t>
    </r>
    <r>
      <rPr>
        <i val="true"/>
        <sz val="9"/>
        <color rgb="FF666666"/>
        <rFont val="Noto Sans CJK SC"/>
        <family val="2"/>
      </rPr>
      <t xml:space="preserve">日目</t>
    </r>
    <r>
      <rPr>
        <i val="true"/>
        <sz val="9"/>
        <color rgb="FF666666"/>
        <rFont val="Arial"/>
        <family val="0"/>
        <charset val="1"/>
      </rPr>
      <t xml:space="preserve">48.5%</t>
    </r>
    <r>
      <rPr>
        <i val="true"/>
        <sz val="9"/>
        <color rgb="FF666666"/>
        <rFont val="Noto Sans CJK SC"/>
        <family val="2"/>
      </rPr>
      <t xml:space="preserve">から</t>
    </r>
    <r>
      <rPr>
        <i val="true"/>
        <sz val="9"/>
        <color rgb="FF666666"/>
        <rFont val="Arial"/>
        <family val="0"/>
        <charset val="1"/>
      </rPr>
      <t xml:space="preserve">6</t>
    </r>
    <r>
      <rPr>
        <i val="true"/>
        <sz val="9"/>
        <color rgb="FF666666"/>
        <rFont val="Noto Sans CJK SC"/>
        <family val="2"/>
      </rPr>
      <t xml:space="preserve">日目</t>
    </r>
    <r>
      <rPr>
        <i val="true"/>
        <sz val="9"/>
        <color rgb="FF666666"/>
        <rFont val="Arial"/>
        <family val="0"/>
        <charset val="1"/>
      </rPr>
      <t xml:space="preserve">55.6%</t>
    </r>
    <r>
      <rPr>
        <i val="true"/>
        <sz val="9"/>
        <color rgb="FF666666"/>
        <rFont val="Noto Sans CJK SC"/>
        <family val="2"/>
      </rPr>
      <t xml:space="preserve">まで上昇して頭打ち。直近動画の維持率が低く見えるのはこの成熟バイアス。</t>
    </r>
  </si>
  <si>
    <t xml:space="preserve">■ 高評価率 四分位 → 登録転換（全ch統合）</t>
  </si>
  <si>
    <t xml:space="preserve">四分位</t>
  </si>
  <si>
    <t xml:space="preserve">高評価率レンジ</t>
  </si>
  <si>
    <t xml:space="preserve">Q1</t>
  </si>
  <si>
    <t xml:space="preserve">0.00-0.24%</t>
  </si>
  <si>
    <t xml:space="preserve">Q2</t>
  </si>
  <si>
    <t xml:space="preserve">0.24-0.40%</t>
  </si>
  <si>
    <t xml:space="preserve">Q3</t>
  </si>
  <si>
    <t xml:space="preserve">0.40-0.55%</t>
  </si>
  <si>
    <t xml:space="preserve">Q4</t>
  </si>
  <si>
    <t xml:space="preserve">0.56-1.39%</t>
  </si>
  <si>
    <r>
      <rPr>
        <i val="true"/>
        <sz val="9"/>
        <color rgb="FF666666"/>
        <rFont val="Arial"/>
        <family val="0"/>
        <charset val="1"/>
      </rPr>
      <t xml:space="preserve">Q1→Q4 </t>
    </r>
    <r>
      <rPr>
        <i val="true"/>
        <sz val="9"/>
        <color rgb="FF666666"/>
        <rFont val="Noto Sans CJK SC"/>
        <family val="2"/>
      </rPr>
      <t xml:space="preserve">で </t>
    </r>
    <r>
      <rPr>
        <i val="true"/>
        <sz val="9"/>
        <color rgb="FF666666"/>
        <rFont val="Arial"/>
        <family val="0"/>
        <charset val="1"/>
      </rPr>
      <t xml:space="preserve">0.29→0.83 </t>
    </r>
    <r>
      <rPr>
        <i val="true"/>
        <sz val="9"/>
        <color rgb="FF666666"/>
        <rFont val="Noto Sans CJK SC"/>
        <family val="2"/>
      </rPr>
      <t xml:space="preserve">と単調増加。</t>
    </r>
  </si>
  <si>
    <t xml:space="preserve">■ 維持率 四分位 → 登録転換・リーチ（全ch統合）</t>
  </si>
  <si>
    <t xml:space="preserve">維持率レンジ</t>
  </si>
  <si>
    <t xml:space="preserve">32.4-44.5%</t>
  </si>
  <si>
    <t xml:space="preserve">44.9-51.6%</t>
  </si>
  <si>
    <t xml:space="preserve">51.6-61.6%</t>
  </si>
  <si>
    <t xml:space="preserve">61.8-195.4%</t>
  </si>
  <si>
    <t xml:space="preserve">単調性なし。維持率は登録にもリーチにも効いていない。</t>
  </si>
</sst>
</file>

<file path=xl/styles.xml><?xml version="1.0" encoding="utf-8"?>
<styleSheet xmlns="http://schemas.openxmlformats.org/spreadsheetml/2006/main">
  <numFmts count="7">
    <numFmt numFmtId="164" formatCode="General"/>
    <numFmt numFmtId="165" formatCode="0.00"/>
    <numFmt numFmtId="166" formatCode="0.00\倍"/>
    <numFmt numFmtId="167" formatCode="#,##0"/>
    <numFmt numFmtId="168" formatCode="0.0"/>
    <numFmt numFmtId="169" formatCode="0.000"/>
    <numFmt numFmtId="170" formatCode="0"/>
  </numFmts>
  <fonts count="22">
    <font>
      <sz val="11"/>
      <color theme="1"/>
      <name val="Calibri"/>
      <family val="2"/>
      <charset val="1"/>
    </font>
    <font>
      <sz val="10"/>
      <name val="Arial"/>
      <family val="0"/>
    </font>
    <font>
      <sz val="10"/>
      <name val="Arial"/>
      <family val="0"/>
    </font>
    <font>
      <sz val="10"/>
      <name val="Arial"/>
      <family val="0"/>
    </font>
    <font>
      <b val="true"/>
      <sz val="14"/>
      <color rgb="FF1F3864"/>
      <name val="Arial"/>
      <family val="0"/>
      <charset val="1"/>
    </font>
    <font>
      <b val="true"/>
      <sz val="14"/>
      <color rgb="FF1F3864"/>
      <name val="Noto Sans CJK SC"/>
      <family val="2"/>
    </font>
    <font>
      <i val="true"/>
      <sz val="9"/>
      <color rgb="FF666666"/>
      <name val="Noto Sans CJK SC"/>
      <family val="2"/>
      <charset val="1"/>
    </font>
    <font>
      <b val="true"/>
      <sz val="11"/>
      <color rgb="FF1F3864"/>
      <name val="Noto Sans CJK SC"/>
      <family val="2"/>
      <charset val="1"/>
    </font>
    <font>
      <b val="true"/>
      <sz val="10"/>
      <color rgb="FFFFFFFF"/>
      <name val="Noto Sans CJK SC"/>
      <family val="2"/>
      <charset val="1"/>
    </font>
    <font>
      <sz val="10"/>
      <name val="Noto Sans CJK SC"/>
      <family val="2"/>
      <charset val="1"/>
    </font>
    <font>
      <sz val="10"/>
      <name val="Arial"/>
      <family val="0"/>
      <charset val="1"/>
    </font>
    <font>
      <sz val="10"/>
      <name val="Noto Sans CJK SC"/>
      <family val="2"/>
    </font>
    <font>
      <b val="true"/>
      <sz val="10"/>
      <name val="Arial"/>
      <family val="0"/>
      <charset val="1"/>
    </font>
    <font>
      <b val="true"/>
      <sz val="10"/>
      <name val="Noto Sans CJK SC"/>
      <family val="2"/>
      <charset val="1"/>
    </font>
    <font>
      <b val="true"/>
      <sz val="10"/>
      <color rgb="FFC00000"/>
      <name val="Noto Sans CJK SC"/>
      <family val="2"/>
      <charset val="1"/>
    </font>
    <font>
      <b val="true"/>
      <sz val="11"/>
      <color rgb="FFC00000"/>
      <name val="Noto Sans CJK SC"/>
      <family val="2"/>
    </font>
    <font>
      <i val="true"/>
      <sz val="9"/>
      <color rgb="FF666666"/>
      <name val="Noto Sans CJK SC"/>
      <family val="2"/>
    </font>
    <font>
      <i val="true"/>
      <sz val="9"/>
      <color rgb="FF666666"/>
      <name val="Arial"/>
      <family val="0"/>
      <charset val="1"/>
    </font>
    <font>
      <b val="true"/>
      <sz val="10"/>
      <color rgb="FFC00000"/>
      <name val="Noto Sans CJK SC"/>
      <family val="2"/>
    </font>
    <font>
      <b val="true"/>
      <sz val="10"/>
      <color rgb="FFC00000"/>
      <name val="Arial"/>
      <family val="0"/>
      <charset val="1"/>
    </font>
    <font>
      <b val="true"/>
      <sz val="14"/>
      <color rgb="FF1F3864"/>
      <name val="Noto Sans CJK SC"/>
      <family val="2"/>
      <charset val="1"/>
    </font>
    <font>
      <b val="true"/>
      <sz val="10"/>
      <color rgb="FFFFFFFF"/>
      <name val="Arial"/>
      <family val="0"/>
      <charset val="1"/>
    </font>
  </fonts>
  <fills count="6">
    <fill>
      <patternFill patternType="none"/>
    </fill>
    <fill>
      <patternFill patternType="gray125"/>
    </fill>
    <fill>
      <patternFill patternType="solid">
        <fgColor rgb="FF1F3864"/>
        <bgColor rgb="FF333333"/>
      </patternFill>
    </fill>
    <fill>
      <patternFill patternType="solid">
        <fgColor rgb="FFFFF2CC"/>
        <bgColor rgb="FFFCE4E4"/>
      </patternFill>
    </fill>
    <fill>
      <patternFill patternType="solid">
        <fgColor rgb="FFE2EFDA"/>
        <bgColor rgb="FFFFF2CC"/>
      </patternFill>
    </fill>
    <fill>
      <patternFill patternType="solid">
        <fgColor rgb="FFFCE4E4"/>
        <bgColor rgb="FFFFF2CC"/>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7">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8" fillId="2" borderId="1" xfId="0" applyFont="true" applyBorder="true" applyAlignment="true" applyProtection="false">
      <alignment horizontal="center" vertical="center" textRotation="0" wrapText="true" indent="0" shrinkToFit="false"/>
      <protection locked="true" hidden="false"/>
    </xf>
    <xf numFmtId="164" fontId="9" fillId="3" borderId="1" xfId="0" applyFont="true" applyBorder="true" applyAlignment="true" applyProtection="false">
      <alignment horizontal="general" vertical="bottom" textRotation="0" wrapText="false" indent="0" shrinkToFit="false"/>
      <protection locked="true" hidden="false"/>
    </xf>
    <xf numFmtId="165" fontId="10" fillId="3" borderId="1" xfId="0" applyFont="true" applyBorder="true" applyAlignment="true" applyProtection="false">
      <alignment horizontal="general" vertical="bottom" textRotation="0" wrapText="false" indent="0" shrinkToFit="false"/>
      <protection locked="true" hidden="false"/>
    </xf>
    <xf numFmtId="164" fontId="9" fillId="0" borderId="1" xfId="0" applyFont="true" applyBorder="true" applyAlignment="true" applyProtection="false">
      <alignment horizontal="general" vertical="bottom" textRotation="0" wrapText="false" indent="0" shrinkToFit="false"/>
      <protection locked="true" hidden="false"/>
    </xf>
    <xf numFmtId="165" fontId="10" fillId="0" borderId="1" xfId="0" applyFont="true" applyBorder="true" applyAlignment="true" applyProtection="false">
      <alignment horizontal="general" vertical="bottom" textRotation="0" wrapText="false" indent="0" shrinkToFit="false"/>
      <protection locked="true" hidden="false"/>
    </xf>
    <xf numFmtId="164" fontId="10" fillId="0" borderId="1" xfId="0" applyFont="true" applyBorder="true" applyAlignment="true" applyProtection="false">
      <alignment horizontal="general" vertical="bottom" textRotation="0" wrapText="false" indent="0" shrinkToFit="false"/>
      <protection locked="true" hidden="false"/>
    </xf>
    <xf numFmtId="166" fontId="12" fillId="0" borderId="0" xfId="0" applyFont="true" applyBorder="false" applyAlignment="true" applyProtection="false">
      <alignment horizontal="general" vertical="bottom" textRotation="0" wrapText="false" indent="0" shrinkToFit="false"/>
      <protection locked="true" hidden="false"/>
    </xf>
    <xf numFmtId="166" fontId="10" fillId="0" borderId="0" xfId="0" applyFont="true" applyBorder="false" applyAlignment="true" applyProtection="false">
      <alignment horizontal="general" vertical="bottom" textRotation="0" wrapText="false" indent="0" shrinkToFit="false"/>
      <protection locked="true" hidden="false"/>
    </xf>
    <xf numFmtId="167" fontId="10" fillId="0" borderId="1" xfId="0" applyFont="true" applyBorder="true" applyAlignment="true" applyProtection="false">
      <alignment horizontal="general" vertical="bottom" textRotation="0" wrapText="false" indent="0" shrinkToFit="false"/>
      <protection locked="true" hidden="false"/>
    </xf>
    <xf numFmtId="164" fontId="13" fillId="3" borderId="1" xfId="0" applyFont="true" applyBorder="true" applyAlignment="true" applyProtection="false">
      <alignment horizontal="general" vertical="bottom" textRotation="0" wrapText="false" indent="0" shrinkToFit="false"/>
      <protection locked="true" hidden="false"/>
    </xf>
    <xf numFmtId="167" fontId="12" fillId="3" borderId="1" xfId="0" applyFont="true" applyBorder="true" applyAlignment="true" applyProtection="false">
      <alignment horizontal="general" vertical="bottom" textRotation="0" wrapText="false" indent="0" shrinkToFit="false"/>
      <protection locked="true" hidden="false"/>
    </xf>
    <xf numFmtId="165" fontId="12" fillId="3" borderId="1" xfId="0" applyFont="true" applyBorder="true" applyAlignment="tru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64" fontId="14" fillId="0" borderId="0" xfId="0" applyFont="true" applyBorder="false" applyAlignment="true" applyProtection="false">
      <alignment horizontal="general" vertical="bottom" textRotation="0" wrapText="fals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4" fontId="16" fillId="0" borderId="0" xfId="0" applyFont="true" applyBorder="false" applyAlignment="false" applyProtection="false">
      <alignment horizontal="general" vertical="bottom" textRotation="0" wrapText="false" indent="0" shrinkToFit="false"/>
      <protection locked="true" hidden="false"/>
    </xf>
    <xf numFmtId="164" fontId="18" fillId="0" borderId="0" xfId="0" applyFont="true" applyBorder="false" applyAlignment="false" applyProtection="false">
      <alignment horizontal="general" vertical="bottom" textRotation="0" wrapText="false" indent="0" shrinkToFit="false"/>
      <protection locked="true" hidden="false"/>
    </xf>
    <xf numFmtId="164" fontId="20" fillId="0" borderId="0" xfId="0" applyFont="true" applyBorder="false" applyAlignment="true" applyProtection="false">
      <alignment horizontal="general" vertical="bottom" textRotation="0" wrapText="false" indent="0" shrinkToFit="false"/>
      <protection locked="true" hidden="false"/>
    </xf>
    <xf numFmtId="168" fontId="10" fillId="0" borderId="1" xfId="0" applyFont="true" applyBorder="true" applyAlignment="true" applyProtection="false">
      <alignment horizontal="general" vertical="bottom" textRotation="0" wrapText="false" indent="0" shrinkToFit="false"/>
      <protection locked="true" hidden="false"/>
    </xf>
    <xf numFmtId="169" fontId="10" fillId="0" borderId="1" xfId="0" applyFont="true" applyBorder="true" applyAlignment="true" applyProtection="false">
      <alignment horizontal="general" vertical="bottom" textRotation="0" wrapText="false" indent="0" shrinkToFit="false"/>
      <protection locked="true" hidden="false"/>
    </xf>
    <xf numFmtId="170" fontId="10" fillId="0" borderId="1" xfId="0" applyFont="true" applyBorder="true" applyAlignment="true" applyProtection="false">
      <alignment horizontal="general" vertical="bottom" textRotation="0" wrapText="false" indent="0" shrinkToFit="false"/>
      <protection locked="true" hidden="false"/>
    </xf>
    <xf numFmtId="166" fontId="10" fillId="4" borderId="1" xfId="0" applyFont="true" applyBorder="true" applyAlignment="true" applyProtection="false">
      <alignment horizontal="general" vertical="bottom" textRotation="0" wrapText="false" indent="0" shrinkToFit="false"/>
      <protection locked="true" hidden="false"/>
    </xf>
    <xf numFmtId="166" fontId="10" fillId="5" borderId="1" xfId="0" applyFont="true" applyBorder="true" applyAlignment="true" applyProtection="false">
      <alignment horizontal="general" vertical="bottom" textRotation="0" wrapText="false" indent="0" shrinkToFit="false"/>
      <protection locked="true" hidden="false"/>
    </xf>
    <xf numFmtId="164" fontId="17" fillId="0" borderId="0" xfId="0" applyFont="true" applyBorder="false" applyAlignment="true" applyProtection="false">
      <alignment horizontal="general" vertical="bottom" textRotation="0" wrapText="false" indent="0" shrinkToFit="false"/>
      <protection locked="true" hidden="false"/>
    </xf>
    <xf numFmtId="164" fontId="21" fillId="2" borderId="1" xfId="0" applyFont="true" applyBorder="true" applyAlignment="true" applyProtection="false">
      <alignment horizontal="center" vertical="center" textRotation="0" wrapText="true" indent="0" shrinkToFit="false"/>
      <protection locked="true" hidden="false"/>
    </xf>
    <xf numFmtId="164" fontId="9" fillId="4" borderId="1" xfId="0" applyFont="true" applyBorder="true" applyAlignment="true" applyProtection="false">
      <alignment horizontal="center" vertical="bottom" textRotation="0" wrapText="fals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10" fillId="0" borderId="1" xfId="0" applyFont="true" applyBorder="true" applyAlignment="true" applyProtection="false">
      <alignment horizontal="general" vertical="top" textRotation="0" wrapText="true" indent="0" shrinkToFit="false"/>
      <protection locked="true" hidden="false"/>
    </xf>
    <xf numFmtId="164" fontId="9" fillId="5" borderId="1" xfId="0" applyFont="true" applyBorder="true" applyAlignment="true" applyProtection="false">
      <alignment horizontal="center" vertical="bottom" textRotation="0" wrapText="false" indent="0" shrinkToFit="false"/>
      <protection locked="true" hidden="false"/>
    </xf>
    <xf numFmtId="164" fontId="9" fillId="3" borderId="1" xfId="0" applyFont="true" applyBorder="true" applyAlignment="true" applyProtection="false">
      <alignment horizontal="center" vertical="bottom" textRotation="0" wrapText="false" indent="0" shrinkToFit="false"/>
      <protection locked="true" hidden="false"/>
    </xf>
    <xf numFmtId="164" fontId="9" fillId="0" borderId="1" xfId="0" applyFont="true" applyBorder="true" applyAlignment="true" applyProtection="false">
      <alignment horizontal="center" vertical="bottom" textRotation="0" wrapText="false" indent="0" shrinkToFit="false"/>
      <protection locked="true" hidden="false"/>
    </xf>
    <xf numFmtId="164" fontId="18"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CE4E4"/>
      <rgbColor rgb="FF3366FF"/>
      <rgbColor rgb="FF33CCCC"/>
      <rgbColor rgb="FF99CC00"/>
      <rgbColor rgb="FFFFCC00"/>
      <rgbColor rgb="FFFF9900"/>
      <rgbColor rgb="FFFF6600"/>
      <rgbColor rgb="FF666666"/>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34"/>
    <col collapsed="false" customWidth="true" hidden="false" outlineLevel="0" max="4" min="2" style="1" width="14"/>
    <col collapsed="false" customWidth="true" hidden="false" outlineLevel="0" max="5" min="5" style="1" width="16"/>
    <col collapsed="false" customWidth="true" hidden="false" outlineLevel="0" max="6" min="6" style="1" width="10"/>
  </cols>
  <sheetData>
    <row r="1" customFormat="false" ht="21" hidden="false" customHeight="true" outlineLevel="0" collapsed="false">
      <c r="A1" s="2" t="s">
        <v>0</v>
      </c>
    </row>
    <row r="2" customFormat="false" ht="15" hidden="false" customHeight="true" outlineLevel="0" collapsed="false">
      <c r="A2" s="3" t="s">
        <v>1</v>
      </c>
    </row>
    <row r="3" customFormat="false" ht="15" hidden="false" customHeight="true" outlineLevel="0" collapsed="false">
      <c r="A3" s="3" t="s">
        <v>2</v>
      </c>
    </row>
    <row r="5" customFormat="false" ht="15" hidden="false" customHeight="true" outlineLevel="0" collapsed="false">
      <c r="A5" s="4" t="s">
        <v>3</v>
      </c>
    </row>
    <row r="6" customFormat="false" ht="30" hidden="false" customHeight="true" outlineLevel="0" collapsed="false">
      <c r="A6" s="5" t="s">
        <v>4</v>
      </c>
      <c r="B6" s="5" t="s">
        <v>5</v>
      </c>
      <c r="C6" s="5" t="s">
        <v>6</v>
      </c>
      <c r="D6" s="5" t="s">
        <v>5</v>
      </c>
      <c r="E6" s="5" t="s">
        <v>7</v>
      </c>
    </row>
    <row r="7" customFormat="false" ht="15" hidden="false" customHeight="true" outlineLevel="0" collapsed="false">
      <c r="A7" s="6" t="s">
        <v>8</v>
      </c>
      <c r="B7" s="7" t="n">
        <v>0.65</v>
      </c>
      <c r="C7" s="8" t="s">
        <v>9</v>
      </c>
      <c r="D7" s="9" t="n">
        <v>0.3</v>
      </c>
      <c r="E7" s="10" t="s">
        <v>10</v>
      </c>
      <c r="F7" s="11" t="n">
        <f aca="false">B7/D7</f>
        <v>2.16666666666667</v>
      </c>
    </row>
    <row r="8" customFormat="false" ht="15" hidden="false" customHeight="true" outlineLevel="0" collapsed="false">
      <c r="A8" s="8" t="s">
        <v>11</v>
      </c>
      <c r="B8" s="9" t="n">
        <v>0.51</v>
      </c>
      <c r="C8" s="8" t="s">
        <v>9</v>
      </c>
      <c r="D8" s="9" t="n">
        <v>0.45</v>
      </c>
      <c r="E8" s="8" t="s">
        <v>12</v>
      </c>
      <c r="F8" s="12" t="n">
        <f aca="false">B8/D8</f>
        <v>1.13333333333333</v>
      </c>
    </row>
    <row r="9" customFormat="false" ht="15" hidden="false" customHeight="true" outlineLevel="0" collapsed="false">
      <c r="A9" s="8" t="s">
        <v>13</v>
      </c>
      <c r="B9" s="9" t="n">
        <v>973</v>
      </c>
      <c r="C9" s="8" t="s">
        <v>14</v>
      </c>
      <c r="D9" s="9" t="n">
        <v>946</v>
      </c>
      <c r="E9" s="8" t="s">
        <v>15</v>
      </c>
      <c r="F9" s="12" t="n">
        <f aca="false">B9/D9</f>
        <v>1.02854122621564</v>
      </c>
    </row>
    <row r="11" customFormat="false" ht="16.5" hidden="false" customHeight="true" outlineLevel="0" collapsed="false">
      <c r="A11" s="4" t="s">
        <v>16</v>
      </c>
    </row>
    <row r="12" customFormat="false" ht="30" hidden="false" customHeight="true" outlineLevel="0" collapsed="false">
      <c r="A12" s="5" t="s">
        <v>17</v>
      </c>
      <c r="B12" s="5" t="s">
        <v>18</v>
      </c>
      <c r="C12" s="5" t="s">
        <v>19</v>
      </c>
      <c r="D12" s="5" t="s">
        <v>20</v>
      </c>
      <c r="E12" s="5" t="s">
        <v>21</v>
      </c>
    </row>
    <row r="13" customFormat="false" ht="15" hidden="false" customHeight="true" outlineLevel="0" collapsed="false">
      <c r="A13" s="10" t="s">
        <v>22</v>
      </c>
      <c r="B13" s="8" t="n">
        <f aca="false">COUNTIFS(動画別パフォーマンス!$A$5:$A$318,$A13,動画別パフォーマンス!$L$5:$L$318,1)</f>
        <v>89</v>
      </c>
      <c r="C13" s="13" t="n">
        <f aca="false">SUMIFS(動画別パフォーマンス!$E$5:$E$318,動画別パフォーマンス!$A$5:$A$318,$A13,動画別パフォーマンス!$L$5:$L$318,1)</f>
        <v>81562</v>
      </c>
      <c r="D13" s="8" t="n">
        <f aca="false">SUMIFS(動画別パフォーマンス!$I$5:$I$318,動画別パフォーマンス!$A$5:$A$318,$A13,動画別パフォーマンス!$L$5:$L$318,1)</f>
        <v>67</v>
      </c>
      <c r="E13" s="9" t="n">
        <f aca="false">IF(C13=0,0,D13/C13*1000)</f>
        <v>0.821460974473407</v>
      </c>
    </row>
    <row r="14" customFormat="false" ht="15" hidden="false" customHeight="true" outlineLevel="0" collapsed="false">
      <c r="A14" s="10" t="s">
        <v>23</v>
      </c>
      <c r="B14" s="8" t="n">
        <f aca="false">COUNTIFS(動画別パフォーマンス!$A$5:$A$318,$A14,動画別パフォーマンス!$L$5:$L$318,1)</f>
        <v>105</v>
      </c>
      <c r="C14" s="13" t="n">
        <f aca="false">SUMIFS(動画別パフォーマンス!$E$5:$E$318,動画別パフォーマンス!$A$5:$A$318,$A14,動画別パフォーマンス!$L$5:$L$318,1)</f>
        <v>103454</v>
      </c>
      <c r="D14" s="8" t="n">
        <f aca="false">SUMIFS(動画別パフォーマンス!$I$5:$I$318,動画別パフォーマンス!$A$5:$A$318,$A14,動画別パフォーマンス!$L$5:$L$318,1)</f>
        <v>34</v>
      </c>
      <c r="E14" s="9" t="n">
        <f aca="false">IF(C14=0,0,D14/C14*1000)</f>
        <v>0.328648481450693</v>
      </c>
    </row>
    <row r="15" customFormat="false" ht="15" hidden="false" customHeight="true" outlineLevel="0" collapsed="false">
      <c r="A15" s="10" t="s">
        <v>24</v>
      </c>
      <c r="B15" s="8" t="n">
        <f aca="false">COUNTIFS(動画別パフォーマンス!$A$5:$A$318,$A15,動画別パフォーマンス!$L$5:$L$318,1)</f>
        <v>20</v>
      </c>
      <c r="C15" s="13" t="n">
        <f aca="false">SUMIFS(動画別パフォーマンス!$E$5:$E$318,動画別パフォーマンス!$A$5:$A$318,$A15,動画別パフォーマンス!$L$5:$L$318,1)</f>
        <v>32368</v>
      </c>
      <c r="D15" s="8" t="n">
        <f aca="false">SUMIFS(動画別パフォーマンス!$I$5:$I$318,動画別パフォーマンス!$A$5:$A$318,$A15,動画別パフォーマンス!$L$5:$L$318,1)</f>
        <v>12</v>
      </c>
      <c r="E15" s="9" t="n">
        <f aca="false">IF(C15=0,0,D15/C15*1000)</f>
        <v>0.37073652990608</v>
      </c>
    </row>
    <row r="16" customFormat="false" ht="15" hidden="false" customHeight="true" outlineLevel="0" collapsed="false">
      <c r="A16" s="10" t="s">
        <v>25</v>
      </c>
      <c r="B16" s="8" t="n">
        <f aca="false">COUNTIFS(動画別パフォーマンス!$A$5:$A$318,$A16,動画別パフォーマンス!$L$5:$L$318,1)</f>
        <v>20</v>
      </c>
      <c r="C16" s="13" t="n">
        <f aca="false">SUMIFS(動画別パフォーマンス!$E$5:$E$318,動画別パフォーマンス!$A$5:$A$318,$A16,動画別パフォーマンス!$L$5:$L$318,1)</f>
        <v>31835</v>
      </c>
      <c r="D16" s="8" t="n">
        <f aca="false">SUMIFS(動画別パフォーマンス!$I$5:$I$318,動画別パフォーマンス!$A$5:$A$318,$A16,動画別パフォーマンス!$L$5:$L$318,1)</f>
        <v>10</v>
      </c>
      <c r="E16" s="9" t="n">
        <f aca="false">IF(C16=0,0,D16/C16*1000)</f>
        <v>0.314119679597927</v>
      </c>
    </row>
    <row r="17" customFormat="false" ht="15" hidden="false" customHeight="true" outlineLevel="0" collapsed="false">
      <c r="A17" s="10" t="s">
        <v>26</v>
      </c>
      <c r="B17" s="8" t="n">
        <f aca="false">COUNTIFS(動画別パフォーマンス!$A$5:$A$318,$A17,動画別パフォーマンス!$L$5:$L$318,1)</f>
        <v>11</v>
      </c>
      <c r="C17" s="13" t="n">
        <f aca="false">SUMIFS(動画別パフォーマンス!$E$5:$E$318,動画別パフォーマンス!$A$5:$A$318,$A17,動画別パフォーマンス!$L$5:$L$318,1)</f>
        <v>14485</v>
      </c>
      <c r="D17" s="8" t="n">
        <f aca="false">SUMIFS(動画別パフォーマンス!$I$5:$I$318,動画別パフォーマンス!$A$5:$A$318,$A17,動画別パフォーマンス!$L$5:$L$318,1)</f>
        <v>3</v>
      </c>
      <c r="E17" s="9" t="n">
        <f aca="false">IF(C17=0,0,D17/C17*1000)</f>
        <v>0.20711080428029</v>
      </c>
    </row>
    <row r="18" customFormat="false" ht="15" hidden="false" customHeight="true" outlineLevel="0" collapsed="false">
      <c r="A18" s="14" t="s">
        <v>27</v>
      </c>
      <c r="B18" s="14" t="n">
        <f aca="false">SUM(B13:B17)</f>
        <v>245</v>
      </c>
      <c r="C18" s="15" t="n">
        <f aca="false">SUM(C13:C17)</f>
        <v>263704</v>
      </c>
      <c r="D18" s="14" t="n">
        <f aca="false">SUM(D13:D17)</f>
        <v>126</v>
      </c>
      <c r="E18" s="16" t="n">
        <f aca="false">IF(C18=0,0,D18/C18*1000)</f>
        <v>0.477808451900616</v>
      </c>
    </row>
    <row r="20" customFormat="false" ht="16.5" hidden="false" customHeight="true" outlineLevel="0" collapsed="false">
      <c r="A20" s="4" t="s">
        <v>28</v>
      </c>
    </row>
    <row r="21" customFormat="false" ht="15" hidden="false" customHeight="true" outlineLevel="0" collapsed="false">
      <c r="A21" s="17" t="s">
        <v>29</v>
      </c>
    </row>
    <row r="22" customFormat="false" ht="15" hidden="false" customHeight="true" outlineLevel="0" collapsed="false">
      <c r="A22" s="17" t="s">
        <v>30</v>
      </c>
    </row>
    <row r="23" customFormat="false" ht="15" hidden="false" customHeight="true" outlineLevel="0" collapsed="false">
      <c r="A23" s="17" t="s">
        <v>31</v>
      </c>
    </row>
    <row r="24" customFormat="false" ht="15" hidden="false" customHeight="true" outlineLevel="0" collapsed="false">
      <c r="A24" s="17" t="s">
        <v>32</v>
      </c>
    </row>
    <row r="25" customFormat="false" ht="15" hidden="false" customHeight="true" outlineLevel="0" collapsed="false">
      <c r="A25" s="18" t="s">
        <v>33</v>
      </c>
    </row>
    <row r="27" customFormat="false" ht="15" hidden="false" customHeight="false" outlineLevel="0" collapsed="false">
      <c r="A27" s="19" t="s">
        <v>34</v>
      </c>
    </row>
    <row r="28" customFormat="false" ht="15" hidden="false" customHeight="false" outlineLevel="0" collapsed="false">
      <c r="A28" s="20" t="s">
        <v>35</v>
      </c>
    </row>
    <row r="29" customFormat="false" ht="15" hidden="false" customHeight="false" outlineLevel="0" collapsed="false">
      <c r="A29" s="20" t="s">
        <v>36</v>
      </c>
    </row>
    <row r="30" customFormat="false" ht="15" hidden="false" customHeight="false" outlineLevel="0" collapsed="false">
      <c r="A30" s="20" t="s">
        <v>37</v>
      </c>
    </row>
    <row r="31" customFormat="false" ht="15" hidden="false" customHeight="false" outlineLevel="0" collapsed="false">
      <c r="A31" s="20" t="s">
        <v>38</v>
      </c>
    </row>
    <row r="32" customFormat="false" ht="15" hidden="false" customHeight="false" outlineLevel="0" collapsed="false">
      <c r="A32" s="21" t="s">
        <v>39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15"/>
    <col collapsed="false" customWidth="true" hidden="false" outlineLevel="0" max="2" min="2" style="1" width="17"/>
    <col collapsed="false" customWidth="true" hidden="false" outlineLevel="0" max="3" min="3" style="1" width="9"/>
    <col collapsed="false" customWidth="true" hidden="false" outlineLevel="0" max="4" min="4" style="1" width="20"/>
    <col collapsed="false" customWidth="true" hidden="false" outlineLevel="0" max="5" min="5" style="1" width="9"/>
    <col collapsed="false" customWidth="true" hidden="false" outlineLevel="0" max="6" min="6" style="1" width="20"/>
    <col collapsed="false" customWidth="true" hidden="false" outlineLevel="0" max="7" min="7" style="1" width="10"/>
    <col collapsed="false" customWidth="true" hidden="false" outlineLevel="0" max="8" min="8" style="1" width="14"/>
    <col collapsed="false" customWidth="true" hidden="false" outlineLevel="0" max="9" min="9" style="1" width="9"/>
    <col collapsed="false" customWidth="true" hidden="false" outlineLevel="0" max="10" min="10" style="1" width="17"/>
    <col collapsed="false" customWidth="true" hidden="false" outlineLevel="0" max="11" min="11" style="1" width="10"/>
  </cols>
  <sheetData>
    <row r="1" customFormat="false" ht="21" hidden="false" customHeight="true" outlineLevel="0" collapsed="false">
      <c r="A1" s="22" t="s">
        <v>40</v>
      </c>
    </row>
    <row r="3" customFormat="false" ht="30" hidden="false" customHeight="true" outlineLevel="0" collapsed="false">
      <c r="A3" s="5" t="s">
        <v>17</v>
      </c>
      <c r="B3" s="5" t="s">
        <v>41</v>
      </c>
      <c r="C3" s="5" t="s">
        <v>42</v>
      </c>
      <c r="D3" s="5" t="s">
        <v>43</v>
      </c>
      <c r="E3" s="5" t="s">
        <v>44</v>
      </c>
      <c r="F3" s="5" t="s">
        <v>45</v>
      </c>
      <c r="G3" s="5" t="s">
        <v>46</v>
      </c>
      <c r="H3" s="5" t="s">
        <v>21</v>
      </c>
      <c r="I3" s="5" t="s">
        <v>47</v>
      </c>
      <c r="J3" s="5" t="s">
        <v>48</v>
      </c>
      <c r="K3" s="5" t="s">
        <v>49</v>
      </c>
    </row>
    <row r="4" customFormat="false" ht="15" hidden="false" customHeight="true" outlineLevel="0" collapsed="false">
      <c r="A4" s="10" t="s">
        <v>22</v>
      </c>
      <c r="B4" s="8" t="s">
        <v>50</v>
      </c>
      <c r="C4" s="13" t="n">
        <v>167</v>
      </c>
      <c r="D4" s="13" t="n">
        <v>89</v>
      </c>
      <c r="E4" s="13" t="n">
        <v>999</v>
      </c>
      <c r="F4" s="23" t="n">
        <v>50</v>
      </c>
      <c r="G4" s="24" t="n">
        <v>0.467</v>
      </c>
      <c r="H4" s="24" t="n">
        <v>0.821</v>
      </c>
      <c r="I4" s="25" t="n">
        <v>67</v>
      </c>
      <c r="J4" s="24" t="n">
        <v>0.147</v>
      </c>
      <c r="K4" s="9" t="n">
        <v>1.76</v>
      </c>
    </row>
    <row r="5" customFormat="false" ht="15" hidden="false" customHeight="true" outlineLevel="0" collapsed="false">
      <c r="A5" s="10" t="s">
        <v>23</v>
      </c>
      <c r="B5" s="8" t="s">
        <v>51</v>
      </c>
      <c r="C5" s="13" t="n">
        <v>175</v>
      </c>
      <c r="D5" s="13" t="n">
        <v>105</v>
      </c>
      <c r="E5" s="13" t="n">
        <v>998</v>
      </c>
      <c r="F5" s="23" t="n">
        <v>51.3</v>
      </c>
      <c r="G5" s="24" t="n">
        <v>0.418</v>
      </c>
      <c r="H5" s="24" t="n">
        <v>0.329</v>
      </c>
      <c r="I5" s="25" t="n">
        <v>34</v>
      </c>
      <c r="J5" s="24" t="n">
        <v>0.116</v>
      </c>
      <c r="K5" s="9" t="n">
        <v>2.2</v>
      </c>
    </row>
    <row r="6" customFormat="false" ht="15" hidden="false" customHeight="true" outlineLevel="0" collapsed="false">
      <c r="A6" s="10" t="s">
        <v>24</v>
      </c>
      <c r="B6" s="8" t="s">
        <v>52</v>
      </c>
      <c r="C6" s="13" t="n">
        <v>29</v>
      </c>
      <c r="D6" s="13" t="n">
        <v>20</v>
      </c>
      <c r="E6" s="13" t="n">
        <v>1588</v>
      </c>
      <c r="F6" s="23" t="n">
        <v>61.3</v>
      </c>
      <c r="G6" s="24" t="n">
        <v>0.3</v>
      </c>
      <c r="H6" s="24" t="n">
        <v>0.371</v>
      </c>
      <c r="I6" s="25" t="n">
        <v>12</v>
      </c>
      <c r="J6" s="24" t="n">
        <v>0.093</v>
      </c>
      <c r="K6" s="9" t="n">
        <v>1.83</v>
      </c>
    </row>
    <row r="7" customFormat="false" ht="15" hidden="false" customHeight="true" outlineLevel="0" collapsed="false">
      <c r="A7" s="10" t="s">
        <v>25</v>
      </c>
      <c r="B7" s="8" t="s">
        <v>53</v>
      </c>
      <c r="C7" s="13" t="n">
        <v>29</v>
      </c>
      <c r="D7" s="13" t="n">
        <v>20</v>
      </c>
      <c r="E7" s="13" t="n">
        <v>1556</v>
      </c>
      <c r="F7" s="23" t="n">
        <v>56.2</v>
      </c>
      <c r="G7" s="24" t="n">
        <v>0.336</v>
      </c>
      <c r="H7" s="24" t="n">
        <v>0.314</v>
      </c>
      <c r="I7" s="25" t="n">
        <v>10</v>
      </c>
      <c r="J7" s="24" t="n">
        <v>0.063</v>
      </c>
      <c r="K7" s="9" t="n">
        <v>1.77</v>
      </c>
    </row>
    <row r="8" customFormat="false" ht="15" hidden="false" customHeight="true" outlineLevel="0" collapsed="false">
      <c r="A8" s="10" t="s">
        <v>26</v>
      </c>
      <c r="B8" s="8" t="s">
        <v>54</v>
      </c>
      <c r="C8" s="13" t="n">
        <v>24</v>
      </c>
      <c r="D8" s="13" t="n">
        <v>11</v>
      </c>
      <c r="E8" s="13" t="n">
        <v>1350</v>
      </c>
      <c r="F8" s="23" t="n">
        <v>64.3</v>
      </c>
      <c r="G8" s="24" t="n">
        <v>0.221</v>
      </c>
      <c r="H8" s="24" t="n">
        <v>0.207</v>
      </c>
      <c r="I8" s="25" t="n">
        <v>3</v>
      </c>
      <c r="J8" s="24" t="n">
        <v>0.207</v>
      </c>
      <c r="K8" s="9" t="n">
        <v>2.16</v>
      </c>
    </row>
    <row r="10" customFormat="false" ht="15" hidden="false" customHeight="true" outlineLevel="0" collapsed="false">
      <c r="A10" s="3" t="s">
        <v>55</v>
      </c>
    </row>
    <row r="12" customFormat="false" ht="16.5" hidden="false" customHeight="true" outlineLevel="0" collapsed="false">
      <c r="A12" s="4" t="s">
        <v>56</v>
      </c>
    </row>
    <row r="13" customFormat="false" ht="30" hidden="false" customHeight="true" outlineLevel="0" collapsed="false">
      <c r="A13" s="5" t="s">
        <v>17</v>
      </c>
      <c r="B13" s="5" t="s">
        <v>46</v>
      </c>
      <c r="C13" s="5" t="s">
        <v>57</v>
      </c>
      <c r="D13" s="5" t="s">
        <v>58</v>
      </c>
      <c r="E13" s="5" t="s">
        <v>59</v>
      </c>
      <c r="F13" s="5" t="s">
        <v>60</v>
      </c>
      <c r="G13" s="5" t="s">
        <v>61</v>
      </c>
    </row>
    <row r="14" customFormat="false" ht="15" hidden="false" customHeight="true" outlineLevel="0" collapsed="false">
      <c r="A14" s="10" t="s">
        <v>26</v>
      </c>
      <c r="B14" s="9" t="n">
        <v>0.22</v>
      </c>
      <c r="C14" s="25" t="n">
        <v>6</v>
      </c>
      <c r="D14" s="9" t="n">
        <v>0.248</v>
      </c>
      <c r="E14" s="25" t="n">
        <v>5</v>
      </c>
      <c r="F14" s="9" t="n">
        <v>0.156</v>
      </c>
      <c r="G14" s="26" t="n">
        <f aca="false">IF(F14=0,"",D14/F14)</f>
        <v>1.58974358974359</v>
      </c>
    </row>
    <row r="15" customFormat="false" ht="15" hidden="false" customHeight="true" outlineLevel="0" collapsed="false">
      <c r="A15" s="10" t="s">
        <v>23</v>
      </c>
      <c r="B15" s="9" t="n">
        <v>0.42</v>
      </c>
      <c r="C15" s="25" t="n">
        <v>53</v>
      </c>
      <c r="D15" s="9" t="n">
        <v>0.439</v>
      </c>
      <c r="E15" s="25" t="n">
        <v>52</v>
      </c>
      <c r="F15" s="9" t="n">
        <v>0.225</v>
      </c>
      <c r="G15" s="26" t="n">
        <f aca="false">IF(F15=0,"",D15/F15)</f>
        <v>1.95111111111111</v>
      </c>
    </row>
    <row r="16" customFormat="false" ht="15" hidden="false" customHeight="true" outlineLevel="0" collapsed="false">
      <c r="A16" s="10" t="s">
        <v>24</v>
      </c>
      <c r="B16" s="9" t="n">
        <v>0.3</v>
      </c>
      <c r="C16" s="25" t="n">
        <v>10</v>
      </c>
      <c r="D16" s="9" t="n">
        <v>0.336</v>
      </c>
      <c r="E16" s="25" t="n">
        <v>10</v>
      </c>
      <c r="F16" s="9" t="n">
        <v>0.4</v>
      </c>
      <c r="G16" s="27" t="n">
        <f aca="false">IF(F16=0,"",D16/F16)</f>
        <v>0.84</v>
      </c>
    </row>
    <row r="17" customFormat="false" ht="15" hidden="false" customHeight="true" outlineLevel="0" collapsed="false">
      <c r="A17" s="10" t="s">
        <v>22</v>
      </c>
      <c r="B17" s="9" t="n">
        <v>0.47</v>
      </c>
      <c r="C17" s="25" t="n">
        <v>45</v>
      </c>
      <c r="D17" s="9" t="n">
        <v>1.13</v>
      </c>
      <c r="E17" s="25" t="n">
        <v>44</v>
      </c>
      <c r="F17" s="9" t="n">
        <v>0.471</v>
      </c>
      <c r="G17" s="26" t="n">
        <f aca="false">IF(F17=0,"",D17/F17)</f>
        <v>2.39915074309979</v>
      </c>
    </row>
    <row r="18" customFormat="false" ht="15" hidden="false" customHeight="true" outlineLevel="0" collapsed="false">
      <c r="A18" s="10" t="s">
        <v>25</v>
      </c>
      <c r="B18" s="9" t="n">
        <v>0.34</v>
      </c>
      <c r="C18" s="25" t="n">
        <v>10</v>
      </c>
      <c r="D18" s="9" t="n">
        <v>0.53</v>
      </c>
      <c r="E18" s="25" t="n">
        <v>10</v>
      </c>
      <c r="F18" s="9" t="n">
        <v>0.12</v>
      </c>
      <c r="G18" s="26" t="n">
        <f aca="false">IF(F18=0,"",D18/F18)</f>
        <v>4.41666666666667</v>
      </c>
    </row>
    <row r="20" customFormat="false" ht="15" hidden="false" customHeight="true" outlineLevel="0" collapsed="false">
      <c r="A20" s="28" t="s">
        <v>62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3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15"/>
    <col collapsed="false" customWidth="true" hidden="false" outlineLevel="0" max="2" min="2" style="1" width="11"/>
    <col collapsed="false" customWidth="true" hidden="false" outlineLevel="0" max="3" min="3" style="1" width="8"/>
    <col collapsed="false" customWidth="true" hidden="false" outlineLevel="0" max="4" min="4" style="1" width="58"/>
    <col collapsed="false" customWidth="true" hidden="false" outlineLevel="0" max="5" min="5" style="1" width="10"/>
    <col collapsed="false" customWidth="true" hidden="false" outlineLevel="0" max="6" min="6" style="1" width="9"/>
    <col collapsed="false" customWidth="true" hidden="false" outlineLevel="0" max="7" min="7" style="1" width="8"/>
    <col collapsed="false" customWidth="true" hidden="false" outlineLevel="0" max="8" min="8" style="1" width="9"/>
    <col collapsed="false" customWidth="true" hidden="false" outlineLevel="0" max="9" min="9" style="1" width="7"/>
    <col collapsed="false" customWidth="true" hidden="false" outlineLevel="0" max="10" min="10" style="1" width="12"/>
    <col collapsed="false" customWidth="true" hidden="false" outlineLevel="0" max="11" min="11" style="1" width="13"/>
    <col collapsed="false" customWidth="true" hidden="false" outlineLevel="0" max="12" min="12" style="1" width="7"/>
  </cols>
  <sheetData>
    <row r="1" customFormat="false" ht="21" hidden="false" customHeight="true" outlineLevel="0" collapsed="false">
      <c r="A1" s="22" t="s">
        <v>63</v>
      </c>
    </row>
    <row r="2" customFormat="false" ht="15" hidden="false" customHeight="true" outlineLevel="0" collapsed="false">
      <c r="A2" s="3" t="s">
        <v>64</v>
      </c>
    </row>
    <row r="4" customFormat="false" ht="30" hidden="false" customHeight="true" outlineLevel="0" collapsed="false">
      <c r="A4" s="5" t="s">
        <v>17</v>
      </c>
      <c r="B4" s="5" t="s">
        <v>65</v>
      </c>
      <c r="C4" s="5" t="s">
        <v>66</v>
      </c>
      <c r="D4" s="5" t="s">
        <v>67</v>
      </c>
      <c r="E4" s="5" t="s">
        <v>68</v>
      </c>
      <c r="F4" s="5" t="s">
        <v>69</v>
      </c>
      <c r="G4" s="5" t="s">
        <v>70</v>
      </c>
      <c r="H4" s="5" t="s">
        <v>71</v>
      </c>
      <c r="I4" s="5" t="s">
        <v>72</v>
      </c>
      <c r="J4" s="5" t="s">
        <v>73</v>
      </c>
      <c r="K4" s="5" t="s">
        <v>21</v>
      </c>
      <c r="L4" s="5" t="s">
        <v>74</v>
      </c>
    </row>
    <row r="5" customFormat="false" ht="15" hidden="false" customHeight="true" outlineLevel="0" collapsed="false">
      <c r="A5" s="10" t="s">
        <v>26</v>
      </c>
      <c r="B5" s="10" t="s">
        <v>75</v>
      </c>
      <c r="C5" s="8" t="n">
        <v>14</v>
      </c>
      <c r="D5" s="10" t="s">
        <v>76</v>
      </c>
      <c r="E5" s="8" t="n">
        <v>1358</v>
      </c>
      <c r="F5" s="8" t="n">
        <v>45</v>
      </c>
      <c r="G5" s="8" t="n">
        <v>3</v>
      </c>
      <c r="H5" s="8" t="n">
        <v>0</v>
      </c>
      <c r="I5" s="8" t="n">
        <v>0</v>
      </c>
      <c r="J5" s="9" t="n">
        <f aca="false">IF(E5=0,"",G5/E5*100)</f>
        <v>0.220913107511046</v>
      </c>
      <c r="K5" s="9" t="n">
        <f aca="false">IF(E5=0,"",I5/E5*1000)</f>
        <v>0</v>
      </c>
      <c r="L5" s="8" t="n">
        <v>1</v>
      </c>
    </row>
    <row r="6" customFormat="false" ht="15" hidden="false" customHeight="true" outlineLevel="0" collapsed="false">
      <c r="A6" s="10" t="s">
        <v>26</v>
      </c>
      <c r="B6" s="10" t="s">
        <v>77</v>
      </c>
      <c r="C6" s="8" t="n">
        <v>10</v>
      </c>
      <c r="D6" s="8" t="s">
        <v>78</v>
      </c>
      <c r="E6" s="8" t="n">
        <v>1086</v>
      </c>
      <c r="F6" s="8" t="n">
        <v>125.5</v>
      </c>
      <c r="G6" s="8" t="n">
        <v>1</v>
      </c>
      <c r="H6" s="8" t="n">
        <v>0</v>
      </c>
      <c r="I6" s="8" t="n">
        <v>0</v>
      </c>
      <c r="J6" s="9" t="n">
        <f aca="false">IF(E6=0,"",G6/E6*100)</f>
        <v>0.0920810313075507</v>
      </c>
      <c r="K6" s="9" t="n">
        <f aca="false">IF(E6=0,"",I6/E6*1000)</f>
        <v>0</v>
      </c>
      <c r="L6" s="8" t="n">
        <v>1</v>
      </c>
    </row>
    <row r="7" customFormat="false" ht="15" hidden="false" customHeight="true" outlineLevel="0" collapsed="false">
      <c r="A7" s="10" t="s">
        <v>26</v>
      </c>
      <c r="B7" s="10" t="s">
        <v>77</v>
      </c>
      <c r="C7" s="8" t="n">
        <v>10</v>
      </c>
      <c r="D7" s="8" t="s">
        <v>79</v>
      </c>
      <c r="E7" s="8" t="n">
        <v>1436</v>
      </c>
      <c r="F7" s="8" t="n">
        <v>66.5</v>
      </c>
      <c r="G7" s="8" t="n">
        <v>3</v>
      </c>
      <c r="H7" s="8" t="n">
        <v>0</v>
      </c>
      <c r="I7" s="8" t="n">
        <v>0</v>
      </c>
      <c r="J7" s="9" t="n">
        <f aca="false">IF(E7=0,"",G7/E7*100)</f>
        <v>0.20891364902507</v>
      </c>
      <c r="K7" s="9" t="n">
        <f aca="false">IF(E7=0,"",I7/E7*1000)</f>
        <v>0</v>
      </c>
      <c r="L7" s="8" t="n">
        <v>1</v>
      </c>
    </row>
    <row r="8" customFormat="false" ht="15" hidden="false" customHeight="true" outlineLevel="0" collapsed="false">
      <c r="A8" s="10" t="s">
        <v>26</v>
      </c>
      <c r="B8" s="10" t="s">
        <v>80</v>
      </c>
      <c r="C8" s="8" t="n">
        <v>9</v>
      </c>
      <c r="D8" s="8" t="s">
        <v>81</v>
      </c>
      <c r="E8" s="8" t="n">
        <v>1298</v>
      </c>
      <c r="F8" s="8" t="n">
        <v>51.2</v>
      </c>
      <c r="G8" s="8" t="n">
        <v>4</v>
      </c>
      <c r="H8" s="8" t="n">
        <v>0</v>
      </c>
      <c r="I8" s="8" t="n">
        <v>2</v>
      </c>
      <c r="J8" s="9" t="n">
        <f aca="false">IF(E8=0,"",G8/E8*100)</f>
        <v>0.308166409861325</v>
      </c>
      <c r="K8" s="9" t="n">
        <f aca="false">IF(E8=0,"",I8/E8*1000)</f>
        <v>1.54083204930663</v>
      </c>
      <c r="L8" s="8" t="n">
        <v>1</v>
      </c>
    </row>
    <row r="9" customFormat="false" ht="15" hidden="false" customHeight="true" outlineLevel="0" collapsed="false">
      <c r="A9" s="10" t="s">
        <v>26</v>
      </c>
      <c r="B9" s="10" t="s">
        <v>80</v>
      </c>
      <c r="C9" s="8" t="n">
        <v>9</v>
      </c>
      <c r="D9" s="8" t="s">
        <v>82</v>
      </c>
      <c r="E9" s="8" t="n">
        <v>1366</v>
      </c>
      <c r="F9" s="8" t="n">
        <v>49.9</v>
      </c>
      <c r="G9" s="8" t="n">
        <v>3</v>
      </c>
      <c r="H9" s="8" t="n">
        <v>0</v>
      </c>
      <c r="I9" s="8" t="n">
        <v>1</v>
      </c>
      <c r="J9" s="9" t="n">
        <f aca="false">IF(E9=0,"",G9/E9*100)</f>
        <v>0.219619326500732</v>
      </c>
      <c r="K9" s="9" t="n">
        <f aca="false">IF(E9=0,"",I9/E9*1000)</f>
        <v>0.732064421669107</v>
      </c>
      <c r="L9" s="8" t="n">
        <v>1</v>
      </c>
    </row>
    <row r="10" customFormat="false" ht="15" hidden="false" customHeight="true" outlineLevel="0" collapsed="false">
      <c r="A10" s="10" t="s">
        <v>26</v>
      </c>
      <c r="B10" s="10" t="s">
        <v>83</v>
      </c>
      <c r="C10" s="8" t="n">
        <v>8</v>
      </c>
      <c r="D10" s="8" t="s">
        <v>84</v>
      </c>
      <c r="E10" s="8" t="n">
        <v>1652</v>
      </c>
      <c r="F10" s="8" t="n">
        <v>64.3</v>
      </c>
      <c r="G10" s="8" t="n">
        <v>4</v>
      </c>
      <c r="H10" s="8" t="n">
        <v>2</v>
      </c>
      <c r="I10" s="8" t="n">
        <v>0</v>
      </c>
      <c r="J10" s="9" t="n">
        <f aca="false">IF(E10=0,"",G10/E10*100)</f>
        <v>0.242130750605327</v>
      </c>
      <c r="K10" s="9" t="n">
        <f aca="false">IF(E10=0,"",I10/E10*1000)</f>
        <v>0</v>
      </c>
      <c r="L10" s="8" t="n">
        <v>1</v>
      </c>
    </row>
    <row r="11" customFormat="false" ht="15" hidden="false" customHeight="true" outlineLevel="0" collapsed="false">
      <c r="A11" s="10" t="s">
        <v>26</v>
      </c>
      <c r="B11" s="10" t="s">
        <v>83</v>
      </c>
      <c r="C11" s="8" t="n">
        <v>8</v>
      </c>
      <c r="D11" s="8" t="s">
        <v>85</v>
      </c>
      <c r="E11" s="8" t="n">
        <v>1190</v>
      </c>
      <c r="F11" s="8" t="n">
        <v>51.2</v>
      </c>
      <c r="G11" s="8" t="n">
        <v>0</v>
      </c>
      <c r="H11" s="8" t="n">
        <v>0</v>
      </c>
      <c r="I11" s="8" t="n">
        <v>0</v>
      </c>
      <c r="J11" s="9" t="n">
        <f aca="false">IF(E11=0,"",G11/E11*100)</f>
        <v>0</v>
      </c>
      <c r="K11" s="9" t="n">
        <f aca="false">IF(E11=0,"",I11/E11*1000)</f>
        <v>0</v>
      </c>
      <c r="L11" s="8" t="n">
        <v>1</v>
      </c>
    </row>
    <row r="12" customFormat="false" ht="15" hidden="false" customHeight="true" outlineLevel="0" collapsed="false">
      <c r="A12" s="10" t="s">
        <v>26</v>
      </c>
      <c r="B12" s="10" t="s">
        <v>86</v>
      </c>
      <c r="C12" s="8" t="n">
        <v>7</v>
      </c>
      <c r="D12" s="8" t="s">
        <v>87</v>
      </c>
      <c r="E12" s="8" t="n">
        <v>1350</v>
      </c>
      <c r="F12" s="8" t="n">
        <v>72.2</v>
      </c>
      <c r="G12" s="8" t="n">
        <v>1</v>
      </c>
      <c r="H12" s="8" t="n">
        <v>1</v>
      </c>
      <c r="I12" s="8" t="n">
        <v>0</v>
      </c>
      <c r="J12" s="9" t="n">
        <f aca="false">IF(E12=0,"",G12/E12*100)</f>
        <v>0.0740740740740741</v>
      </c>
      <c r="K12" s="9" t="n">
        <f aca="false">IF(E12=0,"",I12/E12*1000)</f>
        <v>0</v>
      </c>
      <c r="L12" s="8" t="n">
        <v>1</v>
      </c>
    </row>
    <row r="13" customFormat="false" ht="15" hidden="false" customHeight="true" outlineLevel="0" collapsed="false">
      <c r="A13" s="10" t="s">
        <v>26</v>
      </c>
      <c r="B13" s="10" t="s">
        <v>88</v>
      </c>
      <c r="C13" s="8" t="n">
        <v>6</v>
      </c>
      <c r="D13" s="8" t="s">
        <v>89</v>
      </c>
      <c r="E13" s="8" t="n">
        <v>1353</v>
      </c>
      <c r="F13" s="8" t="n">
        <v>57.1</v>
      </c>
      <c r="G13" s="8" t="n">
        <v>4</v>
      </c>
      <c r="H13" s="8" t="n">
        <v>0</v>
      </c>
      <c r="I13" s="8" t="n">
        <v>0</v>
      </c>
      <c r="J13" s="9" t="n">
        <f aca="false">IF(E13=0,"",G13/E13*100)</f>
        <v>0.295639320029564</v>
      </c>
      <c r="K13" s="9" t="n">
        <f aca="false">IF(E13=0,"",I13/E13*1000)</f>
        <v>0</v>
      </c>
      <c r="L13" s="8" t="n">
        <v>1</v>
      </c>
    </row>
    <row r="14" customFormat="false" ht="15" hidden="false" customHeight="true" outlineLevel="0" collapsed="false">
      <c r="A14" s="10" t="s">
        <v>26</v>
      </c>
      <c r="B14" s="10" t="s">
        <v>88</v>
      </c>
      <c r="C14" s="8" t="n">
        <v>6</v>
      </c>
      <c r="D14" s="8" t="s">
        <v>90</v>
      </c>
      <c r="E14" s="8" t="n">
        <v>1161</v>
      </c>
      <c r="F14" s="8" t="n">
        <v>109.6</v>
      </c>
      <c r="G14" s="8" t="n">
        <v>3</v>
      </c>
      <c r="H14" s="8" t="n">
        <v>0</v>
      </c>
      <c r="I14" s="8" t="n">
        <v>0</v>
      </c>
      <c r="J14" s="9" t="n">
        <f aca="false">IF(E14=0,"",G14/E14*100)</f>
        <v>0.258397932816538</v>
      </c>
      <c r="K14" s="9" t="n">
        <f aca="false">IF(E14=0,"",I14/E14*1000)</f>
        <v>0</v>
      </c>
      <c r="L14" s="8" t="n">
        <v>1</v>
      </c>
    </row>
    <row r="15" customFormat="false" ht="15" hidden="false" customHeight="true" outlineLevel="0" collapsed="false">
      <c r="A15" s="10" t="s">
        <v>26</v>
      </c>
      <c r="B15" s="10" t="s">
        <v>88</v>
      </c>
      <c r="C15" s="8" t="n">
        <v>6</v>
      </c>
      <c r="D15" s="8" t="s">
        <v>91</v>
      </c>
      <c r="E15" s="8" t="n">
        <v>2</v>
      </c>
      <c r="F15" s="8" t="n">
        <v>33.8</v>
      </c>
      <c r="G15" s="8" t="n">
        <v>0</v>
      </c>
      <c r="H15" s="8" t="n">
        <v>0</v>
      </c>
      <c r="I15" s="8" t="n">
        <v>0</v>
      </c>
      <c r="J15" s="9" t="n">
        <f aca="false">IF(E15=0,"",G15/E15*100)</f>
        <v>0</v>
      </c>
      <c r="K15" s="9" t="n">
        <f aca="false">IF(E15=0,"",I15/E15*1000)</f>
        <v>0</v>
      </c>
      <c r="L15" s="8" t="n">
        <v>0</v>
      </c>
    </row>
    <row r="16" customFormat="false" ht="15" hidden="false" customHeight="true" outlineLevel="0" collapsed="false">
      <c r="A16" s="10" t="s">
        <v>26</v>
      </c>
      <c r="B16" s="10" t="s">
        <v>88</v>
      </c>
      <c r="C16" s="8" t="n">
        <v>6</v>
      </c>
      <c r="D16" s="8" t="s">
        <v>92</v>
      </c>
      <c r="E16" s="8" t="n">
        <v>1</v>
      </c>
      <c r="F16" s="8" t="n">
        <v>80.8</v>
      </c>
      <c r="G16" s="8" t="n">
        <v>0</v>
      </c>
      <c r="H16" s="8" t="n">
        <v>0</v>
      </c>
      <c r="I16" s="8" t="n">
        <v>0</v>
      </c>
      <c r="J16" s="9" t="n">
        <f aca="false">IF(E16=0,"",G16/E16*100)</f>
        <v>0</v>
      </c>
      <c r="K16" s="9" t="n">
        <f aca="false">IF(E16=0,"",I16/E16*1000)</f>
        <v>0</v>
      </c>
      <c r="L16" s="8" t="n">
        <v>0</v>
      </c>
    </row>
    <row r="17" customFormat="false" ht="15" hidden="false" customHeight="true" outlineLevel="0" collapsed="false">
      <c r="A17" s="10" t="s">
        <v>26</v>
      </c>
      <c r="B17" s="10" t="s">
        <v>88</v>
      </c>
      <c r="C17" s="8" t="n">
        <v>6</v>
      </c>
      <c r="D17" s="8" t="s">
        <v>93</v>
      </c>
      <c r="E17" s="8" t="n">
        <v>1235</v>
      </c>
      <c r="F17" s="8" t="n">
        <v>81.5</v>
      </c>
      <c r="G17" s="8" t="n">
        <v>6</v>
      </c>
      <c r="H17" s="8" t="n">
        <v>0</v>
      </c>
      <c r="I17" s="8" t="n">
        <v>0</v>
      </c>
      <c r="J17" s="9" t="n">
        <f aca="false">IF(E17=0,"",G17/E17*100)</f>
        <v>0.48582995951417</v>
      </c>
      <c r="K17" s="9" t="n">
        <f aca="false">IF(E17=0,"",I17/E17*1000)</f>
        <v>0</v>
      </c>
      <c r="L17" s="8" t="n">
        <v>1</v>
      </c>
    </row>
    <row r="18" customFormat="false" ht="15" hidden="false" customHeight="true" outlineLevel="0" collapsed="false">
      <c r="A18" s="10" t="s">
        <v>26</v>
      </c>
      <c r="B18" s="10" t="s">
        <v>94</v>
      </c>
      <c r="C18" s="8" t="n">
        <v>5</v>
      </c>
      <c r="D18" s="8" t="s">
        <v>95</v>
      </c>
      <c r="E18" s="8" t="n">
        <v>703</v>
      </c>
      <c r="F18" s="8" t="n">
        <v>55.5</v>
      </c>
      <c r="G18" s="8" t="n">
        <v>1</v>
      </c>
      <c r="H18" s="8" t="n">
        <v>0</v>
      </c>
      <c r="I18" s="8" t="n">
        <v>0</v>
      </c>
      <c r="J18" s="9" t="n">
        <f aca="false">IF(E18=0,"",G18/E18*100)</f>
        <v>0.142247510668563</v>
      </c>
      <c r="K18" s="9" t="n">
        <f aca="false">IF(E18=0,"",I18/E18*1000)</f>
        <v>0</v>
      </c>
      <c r="L18" s="8" t="n">
        <v>0</v>
      </c>
    </row>
    <row r="19" customFormat="false" ht="15" hidden="false" customHeight="true" outlineLevel="0" collapsed="false">
      <c r="A19" s="10" t="s">
        <v>26</v>
      </c>
      <c r="B19" s="10" t="s">
        <v>94</v>
      </c>
      <c r="C19" s="8" t="n">
        <v>5</v>
      </c>
      <c r="D19" s="8" t="s">
        <v>96</v>
      </c>
      <c r="E19" s="8" t="n">
        <v>1144</v>
      </c>
      <c r="F19" s="8" t="n">
        <v>51.4</v>
      </c>
      <c r="G19" s="8" t="n">
        <v>2</v>
      </c>
      <c r="H19" s="8" t="n">
        <v>0</v>
      </c>
      <c r="I19" s="8" t="n">
        <v>0</v>
      </c>
      <c r="J19" s="9" t="n">
        <f aca="false">IF(E19=0,"",G19/E19*100)</f>
        <v>0.174825174825175</v>
      </c>
      <c r="K19" s="9" t="n">
        <f aca="false">IF(E19=0,"",I19/E19*1000)</f>
        <v>0</v>
      </c>
      <c r="L19" s="8" t="n">
        <v>0</v>
      </c>
    </row>
    <row r="20" customFormat="false" ht="15" hidden="false" customHeight="true" outlineLevel="0" collapsed="false">
      <c r="A20" s="10" t="s">
        <v>26</v>
      </c>
      <c r="B20" s="10" t="s">
        <v>97</v>
      </c>
      <c r="C20" s="8" t="n">
        <v>4</v>
      </c>
      <c r="D20" s="10" t="s">
        <v>98</v>
      </c>
      <c r="E20" s="8" t="n">
        <v>1802</v>
      </c>
      <c r="F20" s="8" t="n">
        <v>42.2</v>
      </c>
      <c r="G20" s="8" t="n">
        <v>4</v>
      </c>
      <c r="H20" s="8" t="n">
        <v>1</v>
      </c>
      <c r="I20" s="8" t="n">
        <v>0</v>
      </c>
      <c r="J20" s="9" t="n">
        <f aca="false">IF(E20=0,"",G20/E20*100)</f>
        <v>0.221975582685905</v>
      </c>
      <c r="K20" s="9" t="n">
        <f aca="false">IF(E20=0,"",I20/E20*1000)</f>
        <v>0</v>
      </c>
      <c r="L20" s="8" t="n">
        <v>0</v>
      </c>
    </row>
    <row r="21" customFormat="false" ht="15" hidden="false" customHeight="true" outlineLevel="0" collapsed="false">
      <c r="A21" s="10" t="s">
        <v>26</v>
      </c>
      <c r="B21" s="10" t="s">
        <v>97</v>
      </c>
      <c r="C21" s="8" t="n">
        <v>4</v>
      </c>
      <c r="D21" s="8" t="s">
        <v>99</v>
      </c>
      <c r="E21" s="8" t="n">
        <v>247</v>
      </c>
      <c r="F21" s="8" t="n">
        <v>34.9</v>
      </c>
      <c r="G21" s="8" t="n">
        <v>0</v>
      </c>
      <c r="H21" s="8" t="n">
        <v>0</v>
      </c>
      <c r="I21" s="8" t="n">
        <v>0</v>
      </c>
      <c r="J21" s="9" t="n">
        <f aca="false">IF(E21=0,"",G21/E21*100)</f>
        <v>0</v>
      </c>
      <c r="K21" s="9" t="n">
        <f aca="false">IF(E21=0,"",I21/E21*1000)</f>
        <v>0</v>
      </c>
      <c r="L21" s="8" t="n">
        <v>0</v>
      </c>
    </row>
    <row r="22" customFormat="false" ht="15" hidden="false" customHeight="true" outlineLevel="0" collapsed="false">
      <c r="A22" s="10" t="s">
        <v>26</v>
      </c>
      <c r="B22" s="10" t="s">
        <v>100</v>
      </c>
      <c r="C22" s="8" t="n">
        <v>3</v>
      </c>
      <c r="D22" s="8" t="s">
        <v>101</v>
      </c>
      <c r="E22" s="8" t="n">
        <v>581</v>
      </c>
      <c r="F22" s="8" t="n">
        <v>24.7</v>
      </c>
      <c r="G22" s="8" t="n">
        <v>1</v>
      </c>
      <c r="H22" s="8" t="n">
        <v>0</v>
      </c>
      <c r="I22" s="8" t="n">
        <v>0</v>
      </c>
      <c r="J22" s="9" t="n">
        <f aca="false">IF(E22=0,"",G22/E22*100)</f>
        <v>0.172117039586919</v>
      </c>
      <c r="K22" s="9" t="n">
        <f aca="false">IF(E22=0,"",I22/E22*1000)</f>
        <v>0</v>
      </c>
      <c r="L22" s="8" t="n">
        <v>0</v>
      </c>
    </row>
    <row r="23" customFormat="false" ht="15" hidden="false" customHeight="true" outlineLevel="0" collapsed="false">
      <c r="A23" s="10" t="s">
        <v>26</v>
      </c>
      <c r="B23" s="10" t="s">
        <v>100</v>
      </c>
      <c r="C23" s="8" t="n">
        <v>3</v>
      </c>
      <c r="D23" s="8" t="s">
        <v>102</v>
      </c>
      <c r="E23" s="8" t="n">
        <v>818</v>
      </c>
      <c r="F23" s="8" t="n">
        <v>32.1</v>
      </c>
      <c r="G23" s="8" t="n">
        <v>1</v>
      </c>
      <c r="H23" s="8" t="n">
        <v>0</v>
      </c>
      <c r="I23" s="8" t="n">
        <v>1</v>
      </c>
      <c r="J23" s="9" t="n">
        <f aca="false">IF(E23=0,"",G23/E23*100)</f>
        <v>0.122249388753056</v>
      </c>
      <c r="K23" s="9" t="n">
        <f aca="false">IF(E23=0,"",I23/E23*1000)</f>
        <v>1.22249388753056</v>
      </c>
      <c r="L23" s="8" t="n">
        <v>0</v>
      </c>
    </row>
    <row r="24" customFormat="false" ht="15" hidden="false" customHeight="true" outlineLevel="0" collapsed="false">
      <c r="A24" s="10" t="s">
        <v>26</v>
      </c>
      <c r="B24" s="10" t="s">
        <v>103</v>
      </c>
      <c r="C24" s="8" t="n">
        <v>2</v>
      </c>
      <c r="D24" s="10" t="s">
        <v>104</v>
      </c>
      <c r="E24" s="8" t="n">
        <v>637</v>
      </c>
      <c r="F24" s="8" t="n">
        <v>28.8</v>
      </c>
      <c r="G24" s="8" t="n">
        <v>3</v>
      </c>
      <c r="H24" s="8" t="n">
        <v>0</v>
      </c>
      <c r="I24" s="8" t="n">
        <v>0</v>
      </c>
      <c r="J24" s="9" t="n">
        <f aca="false">IF(E24=0,"",G24/E24*100)</f>
        <v>0.470957613814757</v>
      </c>
      <c r="K24" s="9" t="n">
        <f aca="false">IF(E24=0,"",I24/E24*1000)</f>
        <v>0</v>
      </c>
      <c r="L24" s="8" t="n">
        <v>0</v>
      </c>
    </row>
    <row r="25" customFormat="false" ht="15" hidden="false" customHeight="true" outlineLevel="0" collapsed="false">
      <c r="A25" s="10" t="s">
        <v>23</v>
      </c>
      <c r="B25" s="10" t="s">
        <v>105</v>
      </c>
      <c r="C25" s="8" t="n">
        <v>16</v>
      </c>
      <c r="D25" s="8" t="s">
        <v>106</v>
      </c>
      <c r="E25" s="8" t="n">
        <v>785</v>
      </c>
      <c r="F25" s="8" t="n">
        <v>41.7</v>
      </c>
      <c r="G25" s="8" t="n">
        <v>2</v>
      </c>
      <c r="H25" s="8" t="n">
        <v>1</v>
      </c>
      <c r="I25" s="8" t="n">
        <v>0</v>
      </c>
      <c r="J25" s="9" t="n">
        <f aca="false">IF(E25=0,"",G25/E25*100)</f>
        <v>0.254777070063694</v>
      </c>
      <c r="K25" s="9" t="n">
        <f aca="false">IF(E25=0,"",I25/E25*1000)</f>
        <v>0</v>
      </c>
      <c r="L25" s="8" t="n">
        <v>1</v>
      </c>
    </row>
    <row r="26" customFormat="false" ht="15" hidden="false" customHeight="true" outlineLevel="0" collapsed="false">
      <c r="A26" s="10" t="s">
        <v>23</v>
      </c>
      <c r="B26" s="10" t="s">
        <v>105</v>
      </c>
      <c r="C26" s="8" t="n">
        <v>16</v>
      </c>
      <c r="D26" s="8" t="s">
        <v>107</v>
      </c>
      <c r="E26" s="8" t="n">
        <v>878</v>
      </c>
      <c r="F26" s="8" t="n">
        <v>71.4</v>
      </c>
      <c r="G26" s="8" t="n">
        <v>1</v>
      </c>
      <c r="H26" s="8" t="n">
        <v>0</v>
      </c>
      <c r="I26" s="8" t="n">
        <v>0</v>
      </c>
      <c r="J26" s="9" t="n">
        <f aca="false">IF(E26=0,"",G26/E26*100)</f>
        <v>0.113895216400911</v>
      </c>
      <c r="K26" s="9" t="n">
        <f aca="false">IF(E26=0,"",I26/E26*1000)</f>
        <v>0</v>
      </c>
      <c r="L26" s="8" t="n">
        <v>1</v>
      </c>
    </row>
    <row r="27" customFormat="false" ht="15" hidden="false" customHeight="true" outlineLevel="0" collapsed="false">
      <c r="A27" s="10" t="s">
        <v>23</v>
      </c>
      <c r="B27" s="10" t="s">
        <v>108</v>
      </c>
      <c r="C27" s="8" t="n">
        <v>15</v>
      </c>
      <c r="D27" s="8" t="s">
        <v>109</v>
      </c>
      <c r="E27" s="8" t="n">
        <v>959</v>
      </c>
      <c r="F27" s="8" t="n">
        <v>49</v>
      </c>
      <c r="G27" s="8" t="n">
        <v>5</v>
      </c>
      <c r="H27" s="8" t="n">
        <v>0</v>
      </c>
      <c r="I27" s="8" t="n">
        <v>1</v>
      </c>
      <c r="J27" s="9" t="n">
        <f aca="false">IF(E27=0,"",G27/E27*100)</f>
        <v>0.521376433785193</v>
      </c>
      <c r="K27" s="9" t="n">
        <f aca="false">IF(E27=0,"",I27/E27*1000)</f>
        <v>1.04275286757039</v>
      </c>
      <c r="L27" s="8" t="n">
        <v>1</v>
      </c>
    </row>
    <row r="28" customFormat="false" ht="15" hidden="false" customHeight="true" outlineLevel="0" collapsed="false">
      <c r="A28" s="10" t="s">
        <v>23</v>
      </c>
      <c r="B28" s="10" t="s">
        <v>108</v>
      </c>
      <c r="C28" s="8" t="n">
        <v>15</v>
      </c>
      <c r="D28" s="8" t="s">
        <v>110</v>
      </c>
      <c r="E28" s="8" t="n">
        <v>193</v>
      </c>
      <c r="F28" s="8" t="n">
        <v>40.4</v>
      </c>
      <c r="G28" s="8" t="n">
        <v>1</v>
      </c>
      <c r="H28" s="8" t="n">
        <v>0</v>
      </c>
      <c r="I28" s="8" t="n">
        <v>0</v>
      </c>
      <c r="J28" s="9" t="n">
        <f aca="false">IF(E28=0,"",G28/E28*100)</f>
        <v>0.518134715025907</v>
      </c>
      <c r="K28" s="9" t="n">
        <f aca="false">IF(E28=0,"",I28/E28*1000)</f>
        <v>0</v>
      </c>
      <c r="L28" s="8" t="n">
        <v>0</v>
      </c>
    </row>
    <row r="29" customFormat="false" ht="15" hidden="false" customHeight="true" outlineLevel="0" collapsed="false">
      <c r="A29" s="10" t="s">
        <v>23</v>
      </c>
      <c r="B29" s="10" t="s">
        <v>108</v>
      </c>
      <c r="C29" s="8" t="n">
        <v>15</v>
      </c>
      <c r="D29" s="8" t="s">
        <v>111</v>
      </c>
      <c r="E29" s="8" t="n">
        <v>193</v>
      </c>
      <c r="F29" s="8" t="n">
        <v>37</v>
      </c>
      <c r="G29" s="8" t="n">
        <v>1</v>
      </c>
      <c r="H29" s="8" t="n">
        <v>0</v>
      </c>
      <c r="I29" s="8" t="n">
        <v>0</v>
      </c>
      <c r="J29" s="9" t="n">
        <f aca="false">IF(E29=0,"",G29/E29*100)</f>
        <v>0.518134715025907</v>
      </c>
      <c r="K29" s="9" t="n">
        <f aca="false">IF(E29=0,"",I29/E29*1000)</f>
        <v>0</v>
      </c>
      <c r="L29" s="8" t="n">
        <v>0</v>
      </c>
    </row>
    <row r="30" customFormat="false" ht="15" hidden="false" customHeight="true" outlineLevel="0" collapsed="false">
      <c r="A30" s="10" t="s">
        <v>23</v>
      </c>
      <c r="B30" s="10" t="s">
        <v>112</v>
      </c>
      <c r="C30" s="8" t="n">
        <v>14</v>
      </c>
      <c r="D30" s="8" t="s">
        <v>113</v>
      </c>
      <c r="E30" s="8" t="n">
        <v>1284</v>
      </c>
      <c r="F30" s="8" t="n">
        <v>44.4</v>
      </c>
      <c r="G30" s="8" t="n">
        <v>7</v>
      </c>
      <c r="H30" s="8" t="n">
        <v>0</v>
      </c>
      <c r="I30" s="8" t="n">
        <v>0</v>
      </c>
      <c r="J30" s="9" t="n">
        <f aca="false">IF(E30=0,"",G30/E30*100)</f>
        <v>0.545171339563863</v>
      </c>
      <c r="K30" s="9" t="n">
        <f aca="false">IF(E30=0,"",I30/E30*1000)</f>
        <v>0</v>
      </c>
      <c r="L30" s="8" t="n">
        <v>1</v>
      </c>
    </row>
    <row r="31" customFormat="false" ht="15" hidden="false" customHeight="true" outlineLevel="0" collapsed="false">
      <c r="A31" s="10" t="s">
        <v>23</v>
      </c>
      <c r="B31" s="10" t="s">
        <v>112</v>
      </c>
      <c r="C31" s="8" t="n">
        <v>17</v>
      </c>
      <c r="D31" s="8" t="s">
        <v>114</v>
      </c>
      <c r="E31" s="8" t="n">
        <v>1271</v>
      </c>
      <c r="F31" s="8" t="n">
        <v>46.7</v>
      </c>
      <c r="G31" s="8" t="n">
        <v>3</v>
      </c>
      <c r="H31" s="8" t="n">
        <v>0</v>
      </c>
      <c r="I31" s="8" t="n">
        <v>0</v>
      </c>
      <c r="J31" s="9" t="n">
        <f aca="false">IF(E31=0,"",G31/E31*100)</f>
        <v>0.2360346184107</v>
      </c>
      <c r="K31" s="9" t="n">
        <f aca="false">IF(E31=0,"",I31/E31*1000)</f>
        <v>0</v>
      </c>
      <c r="L31" s="8" t="n">
        <v>1</v>
      </c>
    </row>
    <row r="32" customFormat="false" ht="15" hidden="false" customHeight="true" outlineLevel="0" collapsed="false">
      <c r="A32" s="10" t="s">
        <v>23</v>
      </c>
      <c r="B32" s="10" t="s">
        <v>112</v>
      </c>
      <c r="C32" s="8" t="n">
        <v>14</v>
      </c>
      <c r="D32" s="8" t="s">
        <v>115</v>
      </c>
      <c r="E32" s="8" t="n">
        <v>787</v>
      </c>
      <c r="F32" s="8" t="n">
        <v>48.4</v>
      </c>
      <c r="G32" s="8" t="n">
        <v>6</v>
      </c>
      <c r="H32" s="8" t="n">
        <v>0</v>
      </c>
      <c r="I32" s="8" t="n">
        <v>0</v>
      </c>
      <c r="J32" s="9" t="n">
        <f aca="false">IF(E32=0,"",G32/E32*100)</f>
        <v>0.762388818297332</v>
      </c>
      <c r="K32" s="9" t="n">
        <f aca="false">IF(E32=0,"",I32/E32*1000)</f>
        <v>0</v>
      </c>
      <c r="L32" s="8" t="n">
        <v>1</v>
      </c>
    </row>
    <row r="33" customFormat="false" ht="15" hidden="false" customHeight="true" outlineLevel="0" collapsed="false">
      <c r="A33" s="10" t="s">
        <v>23</v>
      </c>
      <c r="B33" s="10" t="s">
        <v>112</v>
      </c>
      <c r="C33" s="8" t="n">
        <v>14</v>
      </c>
      <c r="D33" s="8" t="s">
        <v>116</v>
      </c>
      <c r="E33" s="8" t="n">
        <v>1276</v>
      </c>
      <c r="F33" s="8" t="n">
        <v>38.7</v>
      </c>
      <c r="G33" s="8" t="n">
        <v>3</v>
      </c>
      <c r="H33" s="8" t="n">
        <v>0</v>
      </c>
      <c r="I33" s="8" t="n">
        <v>0</v>
      </c>
      <c r="J33" s="9" t="n">
        <f aca="false">IF(E33=0,"",G33/E33*100)</f>
        <v>0.235109717868339</v>
      </c>
      <c r="K33" s="9" t="n">
        <f aca="false">IF(E33=0,"",I33/E33*1000)</f>
        <v>0</v>
      </c>
      <c r="L33" s="8" t="n">
        <v>1</v>
      </c>
    </row>
    <row r="34" customFormat="false" ht="15" hidden="false" customHeight="true" outlineLevel="0" collapsed="false">
      <c r="A34" s="10" t="s">
        <v>23</v>
      </c>
      <c r="B34" s="10" t="s">
        <v>117</v>
      </c>
      <c r="C34" s="8" t="n">
        <v>17</v>
      </c>
      <c r="D34" s="8" t="s">
        <v>118</v>
      </c>
      <c r="E34" s="8" t="n">
        <v>882</v>
      </c>
      <c r="F34" s="8" t="n">
        <v>51.3</v>
      </c>
      <c r="G34" s="8" t="n">
        <v>4</v>
      </c>
      <c r="H34" s="8" t="n">
        <v>1</v>
      </c>
      <c r="I34" s="8" t="n">
        <v>0</v>
      </c>
      <c r="J34" s="9" t="n">
        <f aca="false">IF(E34=0,"",G34/E34*100)</f>
        <v>0.453514739229025</v>
      </c>
      <c r="K34" s="9" t="n">
        <f aca="false">IF(E34=0,"",I34/E34*1000)</f>
        <v>0</v>
      </c>
      <c r="L34" s="8" t="n">
        <v>1</v>
      </c>
    </row>
    <row r="35" customFormat="false" ht="15" hidden="false" customHeight="true" outlineLevel="0" collapsed="false">
      <c r="A35" s="10" t="s">
        <v>23</v>
      </c>
      <c r="B35" s="10" t="s">
        <v>117</v>
      </c>
      <c r="C35" s="8" t="n">
        <v>16</v>
      </c>
      <c r="D35" s="8" t="s">
        <v>119</v>
      </c>
      <c r="E35" s="8" t="n">
        <v>972</v>
      </c>
      <c r="F35" s="8" t="n">
        <v>51.5</v>
      </c>
      <c r="G35" s="8" t="n">
        <v>5</v>
      </c>
      <c r="H35" s="8" t="n">
        <v>0</v>
      </c>
      <c r="I35" s="8" t="n">
        <v>1</v>
      </c>
      <c r="J35" s="9" t="n">
        <f aca="false">IF(E35=0,"",G35/E35*100)</f>
        <v>0.51440329218107</v>
      </c>
      <c r="K35" s="9" t="n">
        <f aca="false">IF(E35=0,"",I35/E35*1000)</f>
        <v>1.02880658436214</v>
      </c>
      <c r="L35" s="8" t="n">
        <v>1</v>
      </c>
    </row>
    <row r="36" customFormat="false" ht="15" hidden="false" customHeight="true" outlineLevel="0" collapsed="false">
      <c r="A36" s="10" t="s">
        <v>23</v>
      </c>
      <c r="B36" s="10" t="s">
        <v>117</v>
      </c>
      <c r="C36" s="8" t="n">
        <v>17</v>
      </c>
      <c r="D36" s="8" t="s">
        <v>120</v>
      </c>
      <c r="E36" s="8" t="n">
        <v>940</v>
      </c>
      <c r="F36" s="8" t="n">
        <v>33</v>
      </c>
      <c r="G36" s="8" t="n">
        <v>4</v>
      </c>
      <c r="H36" s="8" t="n">
        <v>0</v>
      </c>
      <c r="I36" s="8" t="n">
        <v>0</v>
      </c>
      <c r="J36" s="9" t="n">
        <f aca="false">IF(E36=0,"",G36/E36*100)</f>
        <v>0.425531914893617</v>
      </c>
      <c r="K36" s="9" t="n">
        <f aca="false">IF(E36=0,"",I36/E36*1000)</f>
        <v>0</v>
      </c>
      <c r="L36" s="8" t="n">
        <v>1</v>
      </c>
    </row>
    <row r="37" customFormat="false" ht="15" hidden="false" customHeight="true" outlineLevel="0" collapsed="false">
      <c r="A37" s="10" t="s">
        <v>23</v>
      </c>
      <c r="B37" s="10" t="s">
        <v>117</v>
      </c>
      <c r="C37" s="8" t="n">
        <v>16</v>
      </c>
      <c r="D37" s="8" t="s">
        <v>121</v>
      </c>
      <c r="E37" s="8" t="n">
        <v>998</v>
      </c>
      <c r="F37" s="8" t="n">
        <v>44.2</v>
      </c>
      <c r="G37" s="8" t="n">
        <v>4</v>
      </c>
      <c r="H37" s="8" t="n">
        <v>0</v>
      </c>
      <c r="I37" s="8" t="n">
        <v>1</v>
      </c>
      <c r="J37" s="9" t="n">
        <f aca="false">IF(E37=0,"",G37/E37*100)</f>
        <v>0.400801603206413</v>
      </c>
      <c r="K37" s="9" t="n">
        <f aca="false">IF(E37=0,"",I37/E37*1000)</f>
        <v>1.00200400801603</v>
      </c>
      <c r="L37" s="8" t="n">
        <v>1</v>
      </c>
    </row>
    <row r="38" customFormat="false" ht="15" hidden="false" customHeight="true" outlineLevel="0" collapsed="false">
      <c r="A38" s="10" t="s">
        <v>23</v>
      </c>
      <c r="B38" s="10" t="s">
        <v>122</v>
      </c>
      <c r="C38" s="8" t="n">
        <v>17</v>
      </c>
      <c r="D38" s="8" t="s">
        <v>123</v>
      </c>
      <c r="E38" s="8" t="n">
        <v>1151</v>
      </c>
      <c r="F38" s="8" t="n">
        <v>53.6</v>
      </c>
      <c r="G38" s="8" t="n">
        <v>5</v>
      </c>
      <c r="H38" s="8" t="n">
        <v>0</v>
      </c>
      <c r="I38" s="8" t="n">
        <v>0</v>
      </c>
      <c r="J38" s="9" t="n">
        <f aca="false">IF(E38=0,"",G38/E38*100)</f>
        <v>0.434404865334492</v>
      </c>
      <c r="K38" s="9" t="n">
        <f aca="false">IF(E38=0,"",I38/E38*1000)</f>
        <v>0</v>
      </c>
      <c r="L38" s="8" t="n">
        <v>1</v>
      </c>
    </row>
    <row r="39" customFormat="false" ht="15" hidden="false" customHeight="true" outlineLevel="0" collapsed="false">
      <c r="A39" s="10" t="s">
        <v>23</v>
      </c>
      <c r="B39" s="10" t="s">
        <v>122</v>
      </c>
      <c r="C39" s="8" t="n">
        <v>17</v>
      </c>
      <c r="D39" s="8" t="s">
        <v>124</v>
      </c>
      <c r="E39" s="8" t="n">
        <v>805</v>
      </c>
      <c r="F39" s="8" t="n">
        <v>46.8</v>
      </c>
      <c r="G39" s="8" t="n">
        <v>8</v>
      </c>
      <c r="H39" s="8" t="n">
        <v>0</v>
      </c>
      <c r="I39" s="8" t="n">
        <v>0</v>
      </c>
      <c r="J39" s="9" t="n">
        <f aca="false">IF(E39=0,"",G39/E39*100)</f>
        <v>0.993788819875776</v>
      </c>
      <c r="K39" s="9" t="n">
        <f aca="false">IF(E39=0,"",I39/E39*1000)</f>
        <v>0</v>
      </c>
      <c r="L39" s="8" t="n">
        <v>1</v>
      </c>
    </row>
    <row r="40" customFormat="false" ht="15" hidden="false" customHeight="true" outlineLevel="0" collapsed="false">
      <c r="A40" s="10" t="s">
        <v>23</v>
      </c>
      <c r="B40" s="10" t="s">
        <v>122</v>
      </c>
      <c r="C40" s="8" t="n">
        <v>17</v>
      </c>
      <c r="D40" s="8" t="s">
        <v>125</v>
      </c>
      <c r="E40" s="8" t="n">
        <v>970</v>
      </c>
      <c r="F40" s="8" t="n">
        <v>84.2</v>
      </c>
      <c r="G40" s="8" t="n">
        <v>2</v>
      </c>
      <c r="H40" s="8" t="n">
        <v>0</v>
      </c>
      <c r="I40" s="8" t="n">
        <v>0</v>
      </c>
      <c r="J40" s="9" t="n">
        <f aca="false">IF(E40=0,"",G40/E40*100)</f>
        <v>0.206185567010309</v>
      </c>
      <c r="K40" s="9" t="n">
        <f aca="false">IF(E40=0,"",I40/E40*1000)</f>
        <v>0</v>
      </c>
      <c r="L40" s="8" t="n">
        <v>1</v>
      </c>
    </row>
    <row r="41" customFormat="false" ht="15" hidden="false" customHeight="true" outlineLevel="0" collapsed="false">
      <c r="A41" s="10" t="s">
        <v>23</v>
      </c>
      <c r="B41" s="10" t="s">
        <v>122</v>
      </c>
      <c r="C41" s="8" t="n">
        <v>16</v>
      </c>
      <c r="D41" s="8" t="s">
        <v>126</v>
      </c>
      <c r="E41" s="8" t="n">
        <v>1260</v>
      </c>
      <c r="F41" s="8" t="n">
        <v>106.2</v>
      </c>
      <c r="G41" s="8" t="n">
        <v>3</v>
      </c>
      <c r="H41" s="8" t="n">
        <v>0</v>
      </c>
      <c r="I41" s="8" t="n">
        <v>0</v>
      </c>
      <c r="J41" s="9" t="n">
        <f aca="false">IF(E41=0,"",G41/E41*100)</f>
        <v>0.238095238095238</v>
      </c>
      <c r="K41" s="9" t="n">
        <f aca="false">IF(E41=0,"",I41/E41*1000)</f>
        <v>0</v>
      </c>
      <c r="L41" s="8" t="n">
        <v>1</v>
      </c>
    </row>
    <row r="42" customFormat="false" ht="15" hidden="false" customHeight="true" outlineLevel="0" collapsed="false">
      <c r="A42" s="10" t="s">
        <v>23</v>
      </c>
      <c r="B42" s="10" t="s">
        <v>127</v>
      </c>
      <c r="C42" s="8" t="n">
        <v>17</v>
      </c>
      <c r="D42" s="8" t="s">
        <v>128</v>
      </c>
      <c r="E42" s="8" t="n">
        <v>627</v>
      </c>
      <c r="F42" s="8" t="n">
        <v>52.9</v>
      </c>
      <c r="G42" s="8" t="n">
        <v>4</v>
      </c>
      <c r="H42" s="8" t="n">
        <v>0</v>
      </c>
      <c r="I42" s="8" t="n">
        <v>0</v>
      </c>
      <c r="J42" s="9" t="n">
        <f aca="false">IF(E42=0,"",G42/E42*100)</f>
        <v>0.637958532695375</v>
      </c>
      <c r="K42" s="9" t="n">
        <f aca="false">IF(E42=0,"",I42/E42*1000)</f>
        <v>0</v>
      </c>
      <c r="L42" s="8" t="n">
        <v>1</v>
      </c>
    </row>
    <row r="43" customFormat="false" ht="15" hidden="false" customHeight="true" outlineLevel="0" collapsed="false">
      <c r="A43" s="10" t="s">
        <v>23</v>
      </c>
      <c r="B43" s="10" t="s">
        <v>127</v>
      </c>
      <c r="C43" s="8" t="n">
        <v>17</v>
      </c>
      <c r="D43" s="8" t="s">
        <v>129</v>
      </c>
      <c r="E43" s="8" t="n">
        <v>999</v>
      </c>
      <c r="F43" s="8" t="n">
        <v>56.6</v>
      </c>
      <c r="G43" s="8" t="n">
        <v>5</v>
      </c>
      <c r="H43" s="8" t="n">
        <v>0</v>
      </c>
      <c r="I43" s="8" t="n">
        <v>1</v>
      </c>
      <c r="J43" s="9" t="n">
        <f aca="false">IF(E43=0,"",G43/E43*100)</f>
        <v>0.500500500500501</v>
      </c>
      <c r="K43" s="9" t="n">
        <f aca="false">IF(E43=0,"",I43/E43*1000)</f>
        <v>1.001001001001</v>
      </c>
      <c r="L43" s="8" t="n">
        <v>1</v>
      </c>
    </row>
    <row r="44" customFormat="false" ht="15" hidden="false" customHeight="true" outlineLevel="0" collapsed="false">
      <c r="A44" s="10" t="s">
        <v>23</v>
      </c>
      <c r="B44" s="10" t="s">
        <v>130</v>
      </c>
      <c r="C44" s="8" t="n">
        <v>17</v>
      </c>
      <c r="D44" s="8" t="s">
        <v>131</v>
      </c>
      <c r="E44" s="8" t="n">
        <v>994</v>
      </c>
      <c r="F44" s="8" t="n">
        <v>57.2</v>
      </c>
      <c r="G44" s="8" t="n">
        <v>5</v>
      </c>
      <c r="H44" s="8" t="n">
        <v>0</v>
      </c>
      <c r="I44" s="8" t="n">
        <v>0</v>
      </c>
      <c r="J44" s="9" t="n">
        <f aca="false">IF(E44=0,"",G44/E44*100)</f>
        <v>0.503018108651911</v>
      </c>
      <c r="K44" s="9" t="n">
        <f aca="false">IF(E44=0,"",I44/E44*1000)</f>
        <v>0</v>
      </c>
      <c r="L44" s="8" t="n">
        <v>1</v>
      </c>
    </row>
    <row r="45" customFormat="false" ht="15" hidden="false" customHeight="true" outlineLevel="0" collapsed="false">
      <c r="A45" s="10" t="s">
        <v>23</v>
      </c>
      <c r="B45" s="10" t="s">
        <v>130</v>
      </c>
      <c r="C45" s="8" t="n">
        <v>17</v>
      </c>
      <c r="D45" s="8" t="s">
        <v>132</v>
      </c>
      <c r="E45" s="8" t="n">
        <v>1090</v>
      </c>
      <c r="F45" s="8" t="n">
        <v>35.4</v>
      </c>
      <c r="G45" s="8" t="n">
        <v>3</v>
      </c>
      <c r="H45" s="8" t="n">
        <v>0</v>
      </c>
      <c r="I45" s="8" t="n">
        <v>0</v>
      </c>
      <c r="J45" s="9" t="n">
        <f aca="false">IF(E45=0,"",G45/E45*100)</f>
        <v>0.275229357798165</v>
      </c>
      <c r="K45" s="9" t="n">
        <f aca="false">IF(E45=0,"",I45/E45*1000)</f>
        <v>0</v>
      </c>
      <c r="L45" s="8" t="n">
        <v>1</v>
      </c>
    </row>
    <row r="46" customFormat="false" ht="15" hidden="false" customHeight="true" outlineLevel="0" collapsed="false">
      <c r="A46" s="10" t="s">
        <v>23</v>
      </c>
      <c r="B46" s="10" t="s">
        <v>130</v>
      </c>
      <c r="C46" s="8" t="n">
        <v>17</v>
      </c>
      <c r="D46" s="8" t="s">
        <v>133</v>
      </c>
      <c r="E46" s="8" t="n">
        <v>844</v>
      </c>
      <c r="F46" s="8" t="n">
        <v>59</v>
      </c>
      <c r="G46" s="8" t="n">
        <v>2</v>
      </c>
      <c r="H46" s="8" t="n">
        <v>0</v>
      </c>
      <c r="I46" s="8" t="n">
        <v>0</v>
      </c>
      <c r="J46" s="9" t="n">
        <f aca="false">IF(E46=0,"",G46/E46*100)</f>
        <v>0.23696682464455</v>
      </c>
      <c r="K46" s="9" t="n">
        <f aca="false">IF(E46=0,"",I46/E46*1000)</f>
        <v>0</v>
      </c>
      <c r="L46" s="8" t="n">
        <v>1</v>
      </c>
    </row>
    <row r="47" customFormat="false" ht="15" hidden="false" customHeight="true" outlineLevel="0" collapsed="false">
      <c r="A47" s="10" t="s">
        <v>23</v>
      </c>
      <c r="B47" s="10" t="s">
        <v>130</v>
      </c>
      <c r="C47" s="8" t="n">
        <v>16</v>
      </c>
      <c r="D47" s="8" t="s">
        <v>134</v>
      </c>
      <c r="E47" s="8" t="n">
        <v>1119</v>
      </c>
      <c r="F47" s="8" t="n">
        <v>44.1</v>
      </c>
      <c r="G47" s="8" t="n">
        <v>5</v>
      </c>
      <c r="H47" s="8" t="n">
        <v>0</v>
      </c>
      <c r="I47" s="8" t="n">
        <v>1</v>
      </c>
      <c r="J47" s="9" t="n">
        <f aca="false">IF(E47=0,"",G47/E47*100)</f>
        <v>0.446827524575514</v>
      </c>
      <c r="K47" s="9" t="n">
        <f aca="false">IF(E47=0,"",I47/E47*1000)</f>
        <v>0.893655049151028</v>
      </c>
      <c r="L47" s="8" t="n">
        <v>1</v>
      </c>
    </row>
    <row r="48" customFormat="false" ht="15" hidden="false" customHeight="true" outlineLevel="0" collapsed="false">
      <c r="A48" s="10" t="s">
        <v>23</v>
      </c>
      <c r="B48" s="10" t="s">
        <v>135</v>
      </c>
      <c r="C48" s="8" t="n">
        <v>17</v>
      </c>
      <c r="D48" s="8" t="s">
        <v>136</v>
      </c>
      <c r="E48" s="8" t="n">
        <v>1105</v>
      </c>
      <c r="F48" s="8" t="n">
        <v>45.5</v>
      </c>
      <c r="G48" s="8" t="n">
        <v>4</v>
      </c>
      <c r="H48" s="8" t="n">
        <v>0</v>
      </c>
      <c r="I48" s="8" t="n">
        <v>0</v>
      </c>
      <c r="J48" s="9" t="n">
        <f aca="false">IF(E48=0,"",G48/E48*100)</f>
        <v>0.361990950226244</v>
      </c>
      <c r="K48" s="9" t="n">
        <f aca="false">IF(E48=0,"",I48/E48*1000)</f>
        <v>0</v>
      </c>
      <c r="L48" s="8" t="n">
        <v>1</v>
      </c>
    </row>
    <row r="49" customFormat="false" ht="15" hidden="false" customHeight="true" outlineLevel="0" collapsed="false">
      <c r="A49" s="10" t="s">
        <v>23</v>
      </c>
      <c r="B49" s="10" t="s">
        <v>135</v>
      </c>
      <c r="C49" s="8" t="n">
        <v>17</v>
      </c>
      <c r="D49" s="8" t="s">
        <v>137</v>
      </c>
      <c r="E49" s="8" t="n">
        <v>309</v>
      </c>
      <c r="F49" s="8" t="n">
        <v>44.1</v>
      </c>
      <c r="G49" s="8" t="n">
        <v>3</v>
      </c>
      <c r="H49" s="8" t="n">
        <v>0</v>
      </c>
      <c r="I49" s="8" t="n">
        <v>1</v>
      </c>
      <c r="J49" s="9" t="n">
        <f aca="false">IF(E49=0,"",G49/E49*100)</f>
        <v>0.970873786407767</v>
      </c>
      <c r="K49" s="9" t="n">
        <f aca="false">IF(E49=0,"",I49/E49*1000)</f>
        <v>3.23624595469256</v>
      </c>
      <c r="L49" s="8" t="n">
        <v>1</v>
      </c>
    </row>
    <row r="50" customFormat="false" ht="15" hidden="false" customHeight="true" outlineLevel="0" collapsed="false">
      <c r="A50" s="10" t="s">
        <v>23</v>
      </c>
      <c r="B50" s="10" t="s">
        <v>135</v>
      </c>
      <c r="C50" s="8" t="n">
        <v>17</v>
      </c>
      <c r="D50" s="8" t="s">
        <v>138</v>
      </c>
      <c r="E50" s="8" t="n">
        <v>1164</v>
      </c>
      <c r="F50" s="8" t="n">
        <v>79.5</v>
      </c>
      <c r="G50" s="8" t="n">
        <v>5</v>
      </c>
      <c r="H50" s="8" t="n">
        <v>0</v>
      </c>
      <c r="I50" s="8" t="n">
        <v>2</v>
      </c>
      <c r="J50" s="9" t="n">
        <f aca="false">IF(E50=0,"",G50/E50*100)</f>
        <v>0.429553264604811</v>
      </c>
      <c r="K50" s="9" t="n">
        <f aca="false">IF(E50=0,"",I50/E50*1000)</f>
        <v>1.71821305841924</v>
      </c>
      <c r="L50" s="8" t="n">
        <v>1</v>
      </c>
    </row>
    <row r="51" customFormat="false" ht="15" hidden="false" customHeight="true" outlineLevel="0" collapsed="false">
      <c r="A51" s="10" t="s">
        <v>23</v>
      </c>
      <c r="B51" s="10" t="s">
        <v>139</v>
      </c>
      <c r="C51" s="8" t="n">
        <v>16</v>
      </c>
      <c r="D51" s="8" t="s">
        <v>140</v>
      </c>
      <c r="E51" s="8" t="n">
        <v>1112</v>
      </c>
      <c r="F51" s="8" t="n">
        <v>46.9</v>
      </c>
      <c r="G51" s="8" t="n">
        <v>9</v>
      </c>
      <c r="H51" s="8" t="n">
        <v>1</v>
      </c>
      <c r="I51" s="8" t="n">
        <v>0</v>
      </c>
      <c r="J51" s="9" t="n">
        <f aca="false">IF(E51=0,"",G51/E51*100)</f>
        <v>0.809352517985612</v>
      </c>
      <c r="K51" s="9" t="n">
        <f aca="false">IF(E51=0,"",I51/E51*1000)</f>
        <v>0</v>
      </c>
      <c r="L51" s="8" t="n">
        <v>1</v>
      </c>
    </row>
    <row r="52" customFormat="false" ht="15" hidden="false" customHeight="true" outlineLevel="0" collapsed="false">
      <c r="A52" s="10" t="s">
        <v>23</v>
      </c>
      <c r="B52" s="10" t="s">
        <v>139</v>
      </c>
      <c r="C52" s="8" t="n">
        <v>16</v>
      </c>
      <c r="D52" s="8" t="s">
        <v>141</v>
      </c>
      <c r="E52" s="8" t="n">
        <v>1103</v>
      </c>
      <c r="F52" s="8" t="n">
        <v>45</v>
      </c>
      <c r="G52" s="8" t="n">
        <v>7</v>
      </c>
      <c r="H52" s="8" t="n">
        <v>0</v>
      </c>
      <c r="I52" s="8" t="n">
        <v>0</v>
      </c>
      <c r="J52" s="9" t="n">
        <f aca="false">IF(E52=0,"",G52/E52*100)</f>
        <v>0.634632819582956</v>
      </c>
      <c r="K52" s="9" t="n">
        <f aca="false">IF(E52=0,"",I52/E52*1000)</f>
        <v>0</v>
      </c>
      <c r="L52" s="8" t="n">
        <v>1</v>
      </c>
    </row>
    <row r="53" customFormat="false" ht="15" hidden="false" customHeight="true" outlineLevel="0" collapsed="false">
      <c r="A53" s="10" t="s">
        <v>23</v>
      </c>
      <c r="B53" s="10" t="s">
        <v>139</v>
      </c>
      <c r="C53" s="8" t="n">
        <v>20</v>
      </c>
      <c r="D53" s="8" t="s">
        <v>142</v>
      </c>
      <c r="E53" s="8" t="n">
        <v>1090</v>
      </c>
      <c r="F53" s="8" t="n">
        <v>53.6</v>
      </c>
      <c r="G53" s="8" t="n">
        <v>7</v>
      </c>
      <c r="H53" s="8" t="n">
        <v>0</v>
      </c>
      <c r="I53" s="8" t="n">
        <v>0</v>
      </c>
      <c r="J53" s="9" t="n">
        <f aca="false">IF(E53=0,"",G53/E53*100)</f>
        <v>0.642201834862385</v>
      </c>
      <c r="K53" s="9" t="n">
        <f aca="false">IF(E53=0,"",I53/E53*1000)</f>
        <v>0</v>
      </c>
      <c r="L53" s="8" t="n">
        <v>1</v>
      </c>
    </row>
    <row r="54" customFormat="false" ht="15" hidden="false" customHeight="true" outlineLevel="0" collapsed="false">
      <c r="A54" s="10" t="s">
        <v>23</v>
      </c>
      <c r="B54" s="10" t="s">
        <v>139</v>
      </c>
      <c r="C54" s="8" t="n">
        <v>20</v>
      </c>
      <c r="D54" s="8" t="s">
        <v>143</v>
      </c>
      <c r="E54" s="8" t="n">
        <v>1242</v>
      </c>
      <c r="F54" s="8" t="n">
        <v>46.4</v>
      </c>
      <c r="G54" s="8" t="n">
        <v>2</v>
      </c>
      <c r="H54" s="8" t="n">
        <v>0</v>
      </c>
      <c r="I54" s="8" t="n">
        <v>0</v>
      </c>
      <c r="J54" s="9" t="n">
        <f aca="false">IF(E54=0,"",G54/E54*100)</f>
        <v>0.161030595813205</v>
      </c>
      <c r="K54" s="9" t="n">
        <f aca="false">IF(E54=0,"",I54/E54*1000)</f>
        <v>0</v>
      </c>
      <c r="L54" s="8" t="n">
        <v>1</v>
      </c>
    </row>
    <row r="55" customFormat="false" ht="15" hidden="false" customHeight="true" outlineLevel="0" collapsed="false">
      <c r="A55" s="10" t="s">
        <v>23</v>
      </c>
      <c r="B55" s="10" t="s">
        <v>144</v>
      </c>
      <c r="C55" s="8" t="n">
        <v>19</v>
      </c>
      <c r="D55" s="8" t="s">
        <v>145</v>
      </c>
      <c r="E55" s="8" t="n">
        <v>1056</v>
      </c>
      <c r="F55" s="8" t="n">
        <v>55.5</v>
      </c>
      <c r="G55" s="8" t="n">
        <v>2</v>
      </c>
      <c r="H55" s="8" t="n">
        <v>1</v>
      </c>
      <c r="I55" s="8" t="n">
        <v>0</v>
      </c>
      <c r="J55" s="9" t="n">
        <f aca="false">IF(E55=0,"",G55/E55*100)</f>
        <v>0.189393939393939</v>
      </c>
      <c r="K55" s="9" t="n">
        <f aca="false">IF(E55=0,"",I55/E55*1000)</f>
        <v>0</v>
      </c>
      <c r="L55" s="8" t="n">
        <v>1</v>
      </c>
    </row>
    <row r="56" customFormat="false" ht="15" hidden="false" customHeight="true" outlineLevel="0" collapsed="false">
      <c r="A56" s="10" t="s">
        <v>23</v>
      </c>
      <c r="B56" s="10" t="s">
        <v>144</v>
      </c>
      <c r="C56" s="8" t="n">
        <v>18</v>
      </c>
      <c r="D56" s="8" t="s">
        <v>146</v>
      </c>
      <c r="E56" s="8" t="n">
        <v>1453</v>
      </c>
      <c r="F56" s="8" t="n">
        <v>69.1</v>
      </c>
      <c r="G56" s="8" t="n">
        <v>1</v>
      </c>
      <c r="H56" s="8" t="n">
        <v>0</v>
      </c>
      <c r="I56" s="8" t="n">
        <v>0</v>
      </c>
      <c r="J56" s="9" t="n">
        <f aca="false">IF(E56=0,"",G56/E56*100)</f>
        <v>0.0688231245698555</v>
      </c>
      <c r="K56" s="9" t="n">
        <f aca="false">IF(E56=0,"",I56/E56*1000)</f>
        <v>0</v>
      </c>
      <c r="L56" s="8" t="n">
        <v>1</v>
      </c>
    </row>
    <row r="57" customFormat="false" ht="15" hidden="false" customHeight="true" outlineLevel="0" collapsed="false">
      <c r="A57" s="10" t="s">
        <v>23</v>
      </c>
      <c r="B57" s="10" t="s">
        <v>144</v>
      </c>
      <c r="C57" s="8" t="n">
        <v>19</v>
      </c>
      <c r="D57" s="8" t="s">
        <v>147</v>
      </c>
      <c r="E57" s="8" t="n">
        <v>1192</v>
      </c>
      <c r="F57" s="8" t="n">
        <v>51.5</v>
      </c>
      <c r="G57" s="8" t="n">
        <v>2</v>
      </c>
      <c r="H57" s="8" t="n">
        <v>0</v>
      </c>
      <c r="I57" s="8" t="n">
        <v>1</v>
      </c>
      <c r="J57" s="9" t="n">
        <f aca="false">IF(E57=0,"",G57/E57*100)</f>
        <v>0.167785234899329</v>
      </c>
      <c r="K57" s="9" t="n">
        <f aca="false">IF(E57=0,"",I57/E57*1000)</f>
        <v>0.838926174496644</v>
      </c>
      <c r="L57" s="8" t="n">
        <v>1</v>
      </c>
    </row>
    <row r="58" customFormat="false" ht="15" hidden="false" customHeight="true" outlineLevel="0" collapsed="false">
      <c r="A58" s="10" t="s">
        <v>23</v>
      </c>
      <c r="B58" s="10" t="s">
        <v>148</v>
      </c>
      <c r="C58" s="8" t="n">
        <v>19</v>
      </c>
      <c r="D58" s="8" t="s">
        <v>149</v>
      </c>
      <c r="E58" s="8" t="n">
        <v>1169</v>
      </c>
      <c r="F58" s="8" t="n">
        <v>195.4</v>
      </c>
      <c r="G58" s="8" t="n">
        <v>3</v>
      </c>
      <c r="H58" s="8" t="n">
        <v>0</v>
      </c>
      <c r="I58" s="8" t="n">
        <v>0</v>
      </c>
      <c r="J58" s="9" t="n">
        <f aca="false">IF(E58=0,"",G58/E58*100)</f>
        <v>0.256629597946963</v>
      </c>
      <c r="K58" s="9" t="n">
        <f aca="false">IF(E58=0,"",I58/E58*1000)</f>
        <v>0</v>
      </c>
      <c r="L58" s="8" t="n">
        <v>1</v>
      </c>
    </row>
    <row r="59" customFormat="false" ht="15" hidden="false" customHeight="true" outlineLevel="0" collapsed="false">
      <c r="A59" s="10" t="s">
        <v>23</v>
      </c>
      <c r="B59" s="10" t="s">
        <v>150</v>
      </c>
      <c r="C59" s="8" t="n">
        <v>18</v>
      </c>
      <c r="D59" s="8" t="s">
        <v>151</v>
      </c>
      <c r="E59" s="8" t="n">
        <v>1222</v>
      </c>
      <c r="F59" s="8" t="n">
        <v>51.4</v>
      </c>
      <c r="G59" s="8" t="n">
        <v>5</v>
      </c>
      <c r="H59" s="8" t="n">
        <v>0</v>
      </c>
      <c r="I59" s="8" t="n">
        <v>0</v>
      </c>
      <c r="J59" s="9" t="n">
        <f aca="false">IF(E59=0,"",G59/E59*100)</f>
        <v>0.409165302782324</v>
      </c>
      <c r="K59" s="9" t="n">
        <f aca="false">IF(E59=0,"",I59/E59*1000)</f>
        <v>0</v>
      </c>
      <c r="L59" s="8" t="n">
        <v>1</v>
      </c>
    </row>
    <row r="60" customFormat="false" ht="15" hidden="false" customHeight="true" outlineLevel="0" collapsed="false">
      <c r="A60" s="10" t="s">
        <v>23</v>
      </c>
      <c r="B60" s="10" t="s">
        <v>150</v>
      </c>
      <c r="C60" s="8" t="n">
        <v>18</v>
      </c>
      <c r="D60" s="8" t="s">
        <v>152</v>
      </c>
      <c r="E60" s="8" t="n">
        <v>1253</v>
      </c>
      <c r="F60" s="8" t="n">
        <v>58.5</v>
      </c>
      <c r="G60" s="8" t="n">
        <v>5</v>
      </c>
      <c r="H60" s="8" t="n">
        <v>0</v>
      </c>
      <c r="I60" s="8" t="n">
        <v>0</v>
      </c>
      <c r="J60" s="9" t="n">
        <f aca="false">IF(E60=0,"",G60/E60*100)</f>
        <v>0.399042298483639</v>
      </c>
      <c r="K60" s="9" t="n">
        <f aca="false">IF(E60=0,"",I60/E60*1000)</f>
        <v>0</v>
      </c>
      <c r="L60" s="8" t="n">
        <v>1</v>
      </c>
    </row>
    <row r="61" customFormat="false" ht="15" hidden="false" customHeight="true" outlineLevel="0" collapsed="false">
      <c r="A61" s="10" t="s">
        <v>23</v>
      </c>
      <c r="B61" s="10" t="s">
        <v>150</v>
      </c>
      <c r="C61" s="8" t="n">
        <v>19</v>
      </c>
      <c r="D61" s="8" t="s">
        <v>153</v>
      </c>
      <c r="E61" s="8" t="n">
        <v>1344</v>
      </c>
      <c r="F61" s="8" t="n">
        <v>50</v>
      </c>
      <c r="G61" s="8" t="n">
        <v>5</v>
      </c>
      <c r="H61" s="8" t="n">
        <v>0</v>
      </c>
      <c r="I61" s="8" t="n">
        <v>0</v>
      </c>
      <c r="J61" s="9" t="n">
        <f aca="false">IF(E61=0,"",G61/E61*100)</f>
        <v>0.37202380952381</v>
      </c>
      <c r="K61" s="9" t="n">
        <f aca="false">IF(E61=0,"",I61/E61*1000)</f>
        <v>0</v>
      </c>
      <c r="L61" s="8" t="n">
        <v>1</v>
      </c>
    </row>
    <row r="62" customFormat="false" ht="15" hidden="false" customHeight="true" outlineLevel="0" collapsed="false">
      <c r="A62" s="10" t="s">
        <v>23</v>
      </c>
      <c r="B62" s="10" t="s">
        <v>154</v>
      </c>
      <c r="C62" s="8" t="n">
        <v>20</v>
      </c>
      <c r="D62" s="8" t="s">
        <v>155</v>
      </c>
      <c r="E62" s="8" t="n">
        <v>275</v>
      </c>
      <c r="F62" s="8" t="n">
        <v>47.2</v>
      </c>
      <c r="G62" s="8" t="n">
        <v>0</v>
      </c>
      <c r="H62" s="8" t="n">
        <v>0</v>
      </c>
      <c r="I62" s="8" t="n">
        <v>0</v>
      </c>
      <c r="J62" s="9" t="n">
        <f aca="false">IF(E62=0,"",G62/E62*100)</f>
        <v>0</v>
      </c>
      <c r="K62" s="9" t="n">
        <f aca="false">IF(E62=0,"",I62/E62*1000)</f>
        <v>0</v>
      </c>
      <c r="L62" s="8" t="n">
        <v>0</v>
      </c>
    </row>
    <row r="63" customFormat="false" ht="15" hidden="false" customHeight="true" outlineLevel="0" collapsed="false">
      <c r="A63" s="10" t="s">
        <v>23</v>
      </c>
      <c r="B63" s="10" t="s">
        <v>154</v>
      </c>
      <c r="C63" s="8" t="n">
        <v>19</v>
      </c>
      <c r="D63" s="8" t="s">
        <v>156</v>
      </c>
      <c r="E63" s="8" t="n">
        <v>963</v>
      </c>
      <c r="F63" s="8" t="n">
        <v>70.2</v>
      </c>
      <c r="G63" s="8" t="n">
        <v>6</v>
      </c>
      <c r="H63" s="8" t="n">
        <v>0</v>
      </c>
      <c r="I63" s="8" t="n">
        <v>0</v>
      </c>
      <c r="J63" s="9" t="n">
        <f aca="false">IF(E63=0,"",G63/E63*100)</f>
        <v>0.623052959501558</v>
      </c>
      <c r="K63" s="9" t="n">
        <f aca="false">IF(E63=0,"",I63/E63*1000)</f>
        <v>0</v>
      </c>
      <c r="L63" s="8" t="n">
        <v>1</v>
      </c>
    </row>
    <row r="64" customFormat="false" ht="15" hidden="false" customHeight="true" outlineLevel="0" collapsed="false">
      <c r="A64" s="10" t="s">
        <v>23</v>
      </c>
      <c r="B64" s="10" t="s">
        <v>154</v>
      </c>
      <c r="C64" s="8" t="n">
        <v>22</v>
      </c>
      <c r="D64" s="8" t="s">
        <v>157</v>
      </c>
      <c r="E64" s="8" t="n">
        <v>1144</v>
      </c>
      <c r="F64" s="8" t="n">
        <v>39.6</v>
      </c>
      <c r="G64" s="8" t="n">
        <v>3</v>
      </c>
      <c r="H64" s="8" t="n">
        <v>0</v>
      </c>
      <c r="I64" s="8" t="n">
        <v>0</v>
      </c>
      <c r="J64" s="9" t="n">
        <f aca="false">IF(E64=0,"",G64/E64*100)</f>
        <v>0.262237762237762</v>
      </c>
      <c r="K64" s="9" t="n">
        <f aca="false">IF(E64=0,"",I64/E64*1000)</f>
        <v>0</v>
      </c>
      <c r="L64" s="8" t="n">
        <v>1</v>
      </c>
    </row>
    <row r="65" customFormat="false" ht="15" hidden="false" customHeight="true" outlineLevel="0" collapsed="false">
      <c r="A65" s="10" t="s">
        <v>23</v>
      </c>
      <c r="B65" s="10" t="s">
        <v>158</v>
      </c>
      <c r="C65" s="8" t="n">
        <v>23</v>
      </c>
      <c r="D65" s="8" t="s">
        <v>159</v>
      </c>
      <c r="E65" s="8" t="n">
        <v>957</v>
      </c>
      <c r="F65" s="8" t="n">
        <v>38.4</v>
      </c>
      <c r="G65" s="8" t="n">
        <v>6</v>
      </c>
      <c r="H65" s="8" t="n">
        <v>0</v>
      </c>
      <c r="I65" s="8" t="n">
        <v>0</v>
      </c>
      <c r="J65" s="9" t="n">
        <f aca="false">IF(E65=0,"",G65/E65*100)</f>
        <v>0.626959247648903</v>
      </c>
      <c r="K65" s="9" t="n">
        <f aca="false">IF(E65=0,"",I65/E65*1000)</f>
        <v>0</v>
      </c>
      <c r="L65" s="8" t="n">
        <v>1</v>
      </c>
    </row>
    <row r="66" customFormat="false" ht="15" hidden="false" customHeight="true" outlineLevel="0" collapsed="false">
      <c r="A66" s="10" t="s">
        <v>23</v>
      </c>
      <c r="B66" s="10" t="s">
        <v>158</v>
      </c>
      <c r="C66" s="8" t="n">
        <v>23</v>
      </c>
      <c r="D66" s="8" t="s">
        <v>160</v>
      </c>
      <c r="E66" s="8" t="n">
        <v>952</v>
      </c>
      <c r="F66" s="8" t="n">
        <v>51.1</v>
      </c>
      <c r="G66" s="8" t="n">
        <v>1</v>
      </c>
      <c r="H66" s="8" t="n">
        <v>0</v>
      </c>
      <c r="I66" s="8" t="n">
        <v>0</v>
      </c>
      <c r="J66" s="9" t="n">
        <f aca="false">IF(E66=0,"",G66/E66*100)</f>
        <v>0.105042016806723</v>
      </c>
      <c r="K66" s="9" t="n">
        <f aca="false">IF(E66=0,"",I66/E66*1000)</f>
        <v>0</v>
      </c>
      <c r="L66" s="8" t="n">
        <v>1</v>
      </c>
    </row>
    <row r="67" customFormat="false" ht="15" hidden="false" customHeight="true" outlineLevel="0" collapsed="false">
      <c r="A67" s="10" t="s">
        <v>23</v>
      </c>
      <c r="B67" s="10" t="s">
        <v>158</v>
      </c>
      <c r="C67" s="8" t="n">
        <v>23</v>
      </c>
      <c r="D67" s="8" t="s">
        <v>161</v>
      </c>
      <c r="E67" s="8" t="n">
        <v>1251</v>
      </c>
      <c r="F67" s="8" t="n">
        <v>56.6</v>
      </c>
      <c r="G67" s="8" t="n">
        <v>9</v>
      </c>
      <c r="H67" s="8" t="n">
        <v>1</v>
      </c>
      <c r="I67" s="8" t="n">
        <v>1</v>
      </c>
      <c r="J67" s="9" t="n">
        <f aca="false">IF(E67=0,"",G67/E67*100)</f>
        <v>0.719424460431655</v>
      </c>
      <c r="K67" s="9" t="n">
        <f aca="false">IF(E67=0,"",I67/E67*1000)</f>
        <v>0.799360511590727</v>
      </c>
      <c r="L67" s="8" t="n">
        <v>1</v>
      </c>
    </row>
    <row r="68" customFormat="false" ht="15" hidden="false" customHeight="true" outlineLevel="0" collapsed="false">
      <c r="A68" s="10" t="s">
        <v>23</v>
      </c>
      <c r="B68" s="10" t="s">
        <v>158</v>
      </c>
      <c r="C68" s="8" t="n">
        <v>22</v>
      </c>
      <c r="D68" s="8" t="s">
        <v>162</v>
      </c>
      <c r="E68" s="8" t="n">
        <v>1082</v>
      </c>
      <c r="F68" s="8" t="n">
        <v>65</v>
      </c>
      <c r="G68" s="8" t="n">
        <v>11</v>
      </c>
      <c r="H68" s="8" t="n">
        <v>0</v>
      </c>
      <c r="I68" s="8" t="n">
        <v>0</v>
      </c>
      <c r="J68" s="9" t="n">
        <f aca="false">IF(E68=0,"",G68/E68*100)</f>
        <v>1.01663585951941</v>
      </c>
      <c r="K68" s="9" t="n">
        <f aca="false">IF(E68=0,"",I68/E68*1000)</f>
        <v>0</v>
      </c>
      <c r="L68" s="8" t="n">
        <v>1</v>
      </c>
    </row>
    <row r="69" customFormat="false" ht="15" hidden="false" customHeight="true" outlineLevel="0" collapsed="false">
      <c r="A69" s="10" t="s">
        <v>23</v>
      </c>
      <c r="B69" s="10" t="s">
        <v>163</v>
      </c>
      <c r="C69" s="8" t="n">
        <v>22</v>
      </c>
      <c r="D69" s="8" t="s">
        <v>164</v>
      </c>
      <c r="E69" s="8" t="n">
        <v>1043</v>
      </c>
      <c r="F69" s="8" t="n">
        <v>0</v>
      </c>
      <c r="G69" s="8" t="n">
        <v>4</v>
      </c>
      <c r="H69" s="8" t="n">
        <v>0</v>
      </c>
      <c r="I69" s="8" t="n">
        <v>0</v>
      </c>
      <c r="J69" s="9" t="n">
        <f aca="false">IF(E69=0,"",G69/E69*100)</f>
        <v>0.383509108341323</v>
      </c>
      <c r="K69" s="9" t="n">
        <f aca="false">IF(E69=0,"",I69/E69*1000)</f>
        <v>0</v>
      </c>
      <c r="L69" s="8" t="n">
        <v>1</v>
      </c>
    </row>
    <row r="70" customFormat="false" ht="15" hidden="false" customHeight="true" outlineLevel="0" collapsed="false">
      <c r="A70" s="10" t="s">
        <v>23</v>
      </c>
      <c r="B70" s="10" t="s">
        <v>163</v>
      </c>
      <c r="C70" s="8" t="n">
        <v>23</v>
      </c>
      <c r="D70" s="8" t="s">
        <v>165</v>
      </c>
      <c r="E70" s="8" t="n">
        <v>1519</v>
      </c>
      <c r="F70" s="8" t="n">
        <v>98.9</v>
      </c>
      <c r="G70" s="8" t="n">
        <v>7</v>
      </c>
      <c r="H70" s="8" t="n">
        <v>0</v>
      </c>
      <c r="I70" s="8" t="n">
        <v>1</v>
      </c>
      <c r="J70" s="9" t="n">
        <f aca="false">IF(E70=0,"",G70/E70*100)</f>
        <v>0.460829493087558</v>
      </c>
      <c r="K70" s="9" t="n">
        <f aca="false">IF(E70=0,"",I70/E70*1000)</f>
        <v>0.658327847267939</v>
      </c>
      <c r="L70" s="8" t="n">
        <v>1</v>
      </c>
    </row>
    <row r="71" customFormat="false" ht="15" hidden="false" customHeight="true" outlineLevel="0" collapsed="false">
      <c r="A71" s="10" t="s">
        <v>23</v>
      </c>
      <c r="B71" s="10" t="s">
        <v>163</v>
      </c>
      <c r="C71" s="8" t="n">
        <v>24</v>
      </c>
      <c r="D71" s="8" t="s">
        <v>166</v>
      </c>
      <c r="E71" s="8" t="n">
        <v>895</v>
      </c>
      <c r="F71" s="8" t="n">
        <v>58.2</v>
      </c>
      <c r="G71" s="8" t="n">
        <v>11</v>
      </c>
      <c r="H71" s="8" t="n">
        <v>0</v>
      </c>
      <c r="I71" s="8" t="n">
        <v>1</v>
      </c>
      <c r="J71" s="9" t="n">
        <f aca="false">IF(E71=0,"",G71/E71*100)</f>
        <v>1.22905027932961</v>
      </c>
      <c r="K71" s="9" t="n">
        <f aca="false">IF(E71=0,"",I71/E71*1000)</f>
        <v>1.11731843575419</v>
      </c>
      <c r="L71" s="8" t="n">
        <v>1</v>
      </c>
    </row>
    <row r="72" customFormat="false" ht="15" hidden="false" customHeight="true" outlineLevel="0" collapsed="false">
      <c r="A72" s="10" t="s">
        <v>23</v>
      </c>
      <c r="B72" s="10" t="s">
        <v>167</v>
      </c>
      <c r="C72" s="8" t="n">
        <v>24</v>
      </c>
      <c r="D72" s="8" t="s">
        <v>168</v>
      </c>
      <c r="E72" s="8" t="n">
        <v>1166</v>
      </c>
      <c r="F72" s="8" t="n">
        <v>63</v>
      </c>
      <c r="G72" s="8" t="n">
        <v>2</v>
      </c>
      <c r="H72" s="8" t="n">
        <v>0</v>
      </c>
      <c r="I72" s="8" t="n">
        <v>0</v>
      </c>
      <c r="J72" s="9" t="n">
        <f aca="false">IF(E72=0,"",G72/E72*100)</f>
        <v>0.171526586620926</v>
      </c>
      <c r="K72" s="9" t="n">
        <f aca="false">IF(E72=0,"",I72/E72*1000)</f>
        <v>0</v>
      </c>
      <c r="L72" s="8" t="n">
        <v>1</v>
      </c>
    </row>
    <row r="73" customFormat="false" ht="15" hidden="false" customHeight="true" outlineLevel="0" collapsed="false">
      <c r="A73" s="10" t="s">
        <v>23</v>
      </c>
      <c r="B73" s="10" t="s">
        <v>167</v>
      </c>
      <c r="C73" s="8" t="n">
        <v>23</v>
      </c>
      <c r="D73" s="8" t="s">
        <v>169</v>
      </c>
      <c r="E73" s="8" t="n">
        <v>1134</v>
      </c>
      <c r="F73" s="8" t="n">
        <v>42.5</v>
      </c>
      <c r="G73" s="8" t="n">
        <v>9</v>
      </c>
      <c r="H73" s="8" t="n">
        <v>1</v>
      </c>
      <c r="I73" s="8" t="n">
        <v>0</v>
      </c>
      <c r="J73" s="9" t="n">
        <f aca="false">IF(E73=0,"",G73/E73*100)</f>
        <v>0.793650793650794</v>
      </c>
      <c r="K73" s="9" t="n">
        <f aca="false">IF(E73=0,"",I73/E73*1000)</f>
        <v>0</v>
      </c>
      <c r="L73" s="8" t="n">
        <v>1</v>
      </c>
    </row>
    <row r="74" customFormat="false" ht="15" hidden="false" customHeight="true" outlineLevel="0" collapsed="false">
      <c r="A74" s="10" t="s">
        <v>23</v>
      </c>
      <c r="B74" s="10" t="s">
        <v>167</v>
      </c>
      <c r="C74" s="8" t="n">
        <v>23</v>
      </c>
      <c r="D74" s="8" t="s">
        <v>170</v>
      </c>
      <c r="E74" s="8" t="n">
        <v>1081</v>
      </c>
      <c r="F74" s="8" t="n">
        <v>74.6</v>
      </c>
      <c r="G74" s="8" t="n">
        <v>3</v>
      </c>
      <c r="H74" s="8" t="n">
        <v>1</v>
      </c>
      <c r="I74" s="8" t="n">
        <v>0</v>
      </c>
      <c r="J74" s="9" t="n">
        <f aca="false">IF(E74=0,"",G74/E74*100)</f>
        <v>0.277520814061055</v>
      </c>
      <c r="K74" s="9" t="n">
        <f aca="false">IF(E74=0,"",I74/E74*1000)</f>
        <v>0</v>
      </c>
      <c r="L74" s="8" t="n">
        <v>1</v>
      </c>
    </row>
    <row r="75" customFormat="false" ht="15" hidden="false" customHeight="true" outlineLevel="0" collapsed="false">
      <c r="A75" s="10" t="s">
        <v>23</v>
      </c>
      <c r="B75" s="10" t="s">
        <v>171</v>
      </c>
      <c r="C75" s="8" t="n">
        <v>23</v>
      </c>
      <c r="D75" s="8" t="s">
        <v>172</v>
      </c>
      <c r="E75" s="8" t="n">
        <v>1062</v>
      </c>
      <c r="F75" s="8" t="n">
        <v>64.6</v>
      </c>
      <c r="G75" s="8" t="n">
        <v>6</v>
      </c>
      <c r="H75" s="8" t="n">
        <v>0</v>
      </c>
      <c r="I75" s="8" t="n">
        <v>1</v>
      </c>
      <c r="J75" s="9" t="n">
        <f aca="false">IF(E75=0,"",G75/E75*100)</f>
        <v>0.564971751412429</v>
      </c>
      <c r="K75" s="9" t="n">
        <f aca="false">IF(E75=0,"",I75/E75*1000)</f>
        <v>0.941619585687382</v>
      </c>
      <c r="L75" s="8" t="n">
        <v>1</v>
      </c>
    </row>
    <row r="76" customFormat="false" ht="15" hidden="false" customHeight="true" outlineLevel="0" collapsed="false">
      <c r="A76" s="10" t="s">
        <v>23</v>
      </c>
      <c r="B76" s="10" t="s">
        <v>171</v>
      </c>
      <c r="C76" s="8" t="n">
        <v>23</v>
      </c>
      <c r="D76" s="8" t="s">
        <v>173</v>
      </c>
      <c r="E76" s="8" t="n">
        <v>998</v>
      </c>
      <c r="F76" s="8" t="n">
        <v>43</v>
      </c>
      <c r="G76" s="8" t="n">
        <v>7</v>
      </c>
      <c r="H76" s="8" t="n">
        <v>0</v>
      </c>
      <c r="I76" s="8" t="n">
        <v>1</v>
      </c>
      <c r="J76" s="9" t="n">
        <f aca="false">IF(E76=0,"",G76/E76*100)</f>
        <v>0.701402805611223</v>
      </c>
      <c r="K76" s="9" t="n">
        <f aca="false">IF(E76=0,"",I76/E76*1000)</f>
        <v>1.00200400801603</v>
      </c>
      <c r="L76" s="8" t="n">
        <v>1</v>
      </c>
    </row>
    <row r="77" customFormat="false" ht="15" hidden="false" customHeight="true" outlineLevel="0" collapsed="false">
      <c r="A77" s="10" t="s">
        <v>23</v>
      </c>
      <c r="B77" s="10" t="s">
        <v>174</v>
      </c>
      <c r="C77" s="8" t="n">
        <v>23</v>
      </c>
      <c r="D77" s="8" t="s">
        <v>175</v>
      </c>
      <c r="E77" s="8" t="n">
        <v>1031</v>
      </c>
      <c r="F77" s="8" t="n">
        <v>67.4</v>
      </c>
      <c r="G77" s="8" t="n">
        <v>4</v>
      </c>
      <c r="H77" s="8" t="n">
        <v>0</v>
      </c>
      <c r="I77" s="8" t="n">
        <v>1</v>
      </c>
      <c r="J77" s="9" t="n">
        <f aca="false">IF(E77=0,"",G77/E77*100)</f>
        <v>0.387972841901067</v>
      </c>
      <c r="K77" s="9" t="n">
        <f aca="false">IF(E77=0,"",I77/E77*1000)</f>
        <v>0.969932104752667</v>
      </c>
      <c r="L77" s="8" t="n">
        <v>1</v>
      </c>
    </row>
    <row r="78" customFormat="false" ht="15" hidden="false" customHeight="true" outlineLevel="0" collapsed="false">
      <c r="A78" s="10" t="s">
        <v>23</v>
      </c>
      <c r="B78" s="10" t="s">
        <v>174</v>
      </c>
      <c r="C78" s="8" t="n">
        <v>23</v>
      </c>
      <c r="D78" s="8" t="s">
        <v>176</v>
      </c>
      <c r="E78" s="8" t="n">
        <v>1194</v>
      </c>
      <c r="F78" s="8" t="n">
        <v>36.5</v>
      </c>
      <c r="G78" s="8" t="n">
        <v>6</v>
      </c>
      <c r="H78" s="8" t="n">
        <v>0</v>
      </c>
      <c r="I78" s="8" t="n">
        <v>1</v>
      </c>
      <c r="J78" s="9" t="n">
        <f aca="false">IF(E78=0,"",G78/E78*100)</f>
        <v>0.50251256281407</v>
      </c>
      <c r="K78" s="9" t="n">
        <f aca="false">IF(E78=0,"",I78/E78*1000)</f>
        <v>0.837520938023451</v>
      </c>
      <c r="L78" s="8" t="n">
        <v>1</v>
      </c>
    </row>
    <row r="79" customFormat="false" ht="15" hidden="false" customHeight="true" outlineLevel="0" collapsed="false">
      <c r="A79" s="10" t="s">
        <v>23</v>
      </c>
      <c r="B79" s="10" t="s">
        <v>174</v>
      </c>
      <c r="C79" s="8" t="n">
        <v>23</v>
      </c>
      <c r="D79" s="8" t="s">
        <v>177</v>
      </c>
      <c r="E79" s="8" t="n">
        <v>178</v>
      </c>
      <c r="F79" s="8" t="n">
        <v>50.2</v>
      </c>
      <c r="G79" s="8" t="n">
        <v>2</v>
      </c>
      <c r="H79" s="8" t="n">
        <v>0</v>
      </c>
      <c r="I79" s="8" t="n">
        <v>0</v>
      </c>
      <c r="J79" s="9" t="n">
        <f aca="false">IF(E79=0,"",G79/E79*100)</f>
        <v>1.12359550561798</v>
      </c>
      <c r="K79" s="9" t="n">
        <f aca="false">IF(E79=0,"",I79/E79*1000)</f>
        <v>0</v>
      </c>
      <c r="L79" s="8" t="n">
        <v>0</v>
      </c>
    </row>
    <row r="80" customFormat="false" ht="15" hidden="false" customHeight="true" outlineLevel="0" collapsed="false">
      <c r="A80" s="10" t="s">
        <v>23</v>
      </c>
      <c r="B80" s="10" t="s">
        <v>178</v>
      </c>
      <c r="C80" s="8" t="n">
        <v>22</v>
      </c>
      <c r="D80" s="8" t="s">
        <v>179</v>
      </c>
      <c r="E80" s="8" t="n">
        <v>574</v>
      </c>
      <c r="F80" s="8" t="n">
        <v>120.9</v>
      </c>
      <c r="G80" s="8" t="n">
        <v>8</v>
      </c>
      <c r="H80" s="8" t="n">
        <v>0</v>
      </c>
      <c r="I80" s="8" t="n">
        <v>1</v>
      </c>
      <c r="J80" s="9" t="n">
        <f aca="false">IF(E80=0,"",G80/E80*100)</f>
        <v>1.39372822299652</v>
      </c>
      <c r="K80" s="9" t="n">
        <f aca="false">IF(E80=0,"",I80/E80*1000)</f>
        <v>1.74216027874564</v>
      </c>
      <c r="L80" s="8" t="n">
        <v>1</v>
      </c>
    </row>
    <row r="81" customFormat="false" ht="15" hidden="false" customHeight="true" outlineLevel="0" collapsed="false">
      <c r="A81" s="10" t="s">
        <v>23</v>
      </c>
      <c r="B81" s="10" t="s">
        <v>178</v>
      </c>
      <c r="C81" s="8" t="n">
        <v>22</v>
      </c>
      <c r="D81" s="8" t="s">
        <v>180</v>
      </c>
      <c r="E81" s="8" t="n">
        <v>200</v>
      </c>
      <c r="F81" s="8" t="n">
        <v>27.1</v>
      </c>
      <c r="G81" s="8" t="n">
        <v>0</v>
      </c>
      <c r="H81" s="8" t="n">
        <v>0</v>
      </c>
      <c r="I81" s="8" t="n">
        <v>0</v>
      </c>
      <c r="J81" s="9" t="n">
        <f aca="false">IF(E81=0,"",G81/E81*100)</f>
        <v>0</v>
      </c>
      <c r="K81" s="9" t="n">
        <f aca="false">IF(E81=0,"",I81/E81*1000)</f>
        <v>0</v>
      </c>
      <c r="L81" s="8" t="n">
        <v>0</v>
      </c>
    </row>
    <row r="82" customFormat="false" ht="15" hidden="false" customHeight="true" outlineLevel="0" collapsed="false">
      <c r="A82" s="10" t="s">
        <v>23</v>
      </c>
      <c r="B82" s="10" t="s">
        <v>181</v>
      </c>
      <c r="C82" s="8" t="n">
        <v>21</v>
      </c>
      <c r="D82" s="8" t="s">
        <v>182</v>
      </c>
      <c r="E82" s="8" t="n">
        <v>583</v>
      </c>
      <c r="F82" s="8" t="n">
        <v>41.1</v>
      </c>
      <c r="G82" s="8" t="n">
        <v>4</v>
      </c>
      <c r="H82" s="8" t="n">
        <v>0</v>
      </c>
      <c r="I82" s="8" t="n">
        <v>0</v>
      </c>
      <c r="J82" s="9" t="n">
        <f aca="false">IF(E82=0,"",G82/E82*100)</f>
        <v>0.686106346483705</v>
      </c>
      <c r="K82" s="9" t="n">
        <f aca="false">IF(E82=0,"",I82/E82*1000)</f>
        <v>0</v>
      </c>
      <c r="L82" s="8" t="n">
        <v>1</v>
      </c>
    </row>
    <row r="83" customFormat="false" ht="15" hidden="false" customHeight="true" outlineLevel="0" collapsed="false">
      <c r="A83" s="10" t="s">
        <v>23</v>
      </c>
      <c r="B83" s="10" t="s">
        <v>181</v>
      </c>
      <c r="C83" s="8" t="n">
        <v>21</v>
      </c>
      <c r="D83" s="8" t="s">
        <v>183</v>
      </c>
      <c r="E83" s="8" t="n">
        <v>928</v>
      </c>
      <c r="F83" s="8" t="n">
        <v>50</v>
      </c>
      <c r="G83" s="8" t="n">
        <v>9</v>
      </c>
      <c r="H83" s="8" t="n">
        <v>0</v>
      </c>
      <c r="I83" s="8" t="n">
        <v>2</v>
      </c>
      <c r="J83" s="9" t="n">
        <f aca="false">IF(E83=0,"",G83/E83*100)</f>
        <v>0.969827586206897</v>
      </c>
      <c r="K83" s="9" t="n">
        <f aca="false">IF(E83=0,"",I83/E83*1000)</f>
        <v>2.1551724137931</v>
      </c>
      <c r="L83" s="8" t="n">
        <v>1</v>
      </c>
    </row>
    <row r="84" customFormat="false" ht="15" hidden="false" customHeight="true" outlineLevel="0" collapsed="false">
      <c r="A84" s="10" t="s">
        <v>23</v>
      </c>
      <c r="B84" s="10" t="s">
        <v>181</v>
      </c>
      <c r="C84" s="8" t="n">
        <v>21</v>
      </c>
      <c r="D84" s="8" t="s">
        <v>184</v>
      </c>
      <c r="E84" s="8" t="n">
        <v>289</v>
      </c>
      <c r="F84" s="8" t="n">
        <v>54.7</v>
      </c>
      <c r="G84" s="8" t="n">
        <v>1</v>
      </c>
      <c r="H84" s="8" t="n">
        <v>1</v>
      </c>
      <c r="I84" s="8" t="n">
        <v>1</v>
      </c>
      <c r="J84" s="9" t="n">
        <f aca="false">IF(E84=0,"",G84/E84*100)</f>
        <v>0.346020761245675</v>
      </c>
      <c r="K84" s="9" t="n">
        <f aca="false">IF(E84=0,"",I84/E84*1000)</f>
        <v>3.46020761245675</v>
      </c>
      <c r="L84" s="8" t="n">
        <v>0</v>
      </c>
    </row>
    <row r="85" customFormat="false" ht="15" hidden="false" customHeight="true" outlineLevel="0" collapsed="false">
      <c r="A85" s="10" t="s">
        <v>23</v>
      </c>
      <c r="B85" s="10" t="s">
        <v>185</v>
      </c>
      <c r="C85" s="8" t="n">
        <v>24</v>
      </c>
      <c r="D85" s="8" t="s">
        <v>186</v>
      </c>
      <c r="E85" s="8" t="n">
        <v>388</v>
      </c>
      <c r="F85" s="8" t="n">
        <v>50.3</v>
      </c>
      <c r="G85" s="8" t="n">
        <v>1</v>
      </c>
      <c r="H85" s="8" t="n">
        <v>0</v>
      </c>
      <c r="I85" s="8" t="n">
        <v>0</v>
      </c>
      <c r="J85" s="9" t="n">
        <f aca="false">IF(E85=0,"",G85/E85*100)</f>
        <v>0.257731958762887</v>
      </c>
      <c r="K85" s="9" t="n">
        <f aca="false">IF(E85=0,"",I85/E85*1000)</f>
        <v>0</v>
      </c>
      <c r="L85" s="8" t="n">
        <v>1</v>
      </c>
    </row>
    <row r="86" customFormat="false" ht="15" hidden="false" customHeight="true" outlineLevel="0" collapsed="false">
      <c r="A86" s="10" t="s">
        <v>23</v>
      </c>
      <c r="B86" s="10" t="s">
        <v>185</v>
      </c>
      <c r="C86" s="8" t="n">
        <v>24</v>
      </c>
      <c r="D86" s="8" t="s">
        <v>187</v>
      </c>
      <c r="E86" s="8" t="n">
        <v>957</v>
      </c>
      <c r="F86" s="8" t="n">
        <v>32.4</v>
      </c>
      <c r="G86" s="8" t="n">
        <v>4</v>
      </c>
      <c r="H86" s="8" t="n">
        <v>0</v>
      </c>
      <c r="I86" s="8" t="n">
        <v>0</v>
      </c>
      <c r="J86" s="9" t="n">
        <f aca="false">IF(E86=0,"",G86/E86*100)</f>
        <v>0.417972831765935</v>
      </c>
      <c r="K86" s="9" t="n">
        <f aca="false">IF(E86=0,"",I86/E86*1000)</f>
        <v>0</v>
      </c>
      <c r="L86" s="8" t="n">
        <v>1</v>
      </c>
    </row>
    <row r="87" customFormat="false" ht="15" hidden="false" customHeight="true" outlineLevel="0" collapsed="false">
      <c r="A87" s="10" t="s">
        <v>23</v>
      </c>
      <c r="B87" s="10" t="s">
        <v>185</v>
      </c>
      <c r="C87" s="8" t="n">
        <v>24</v>
      </c>
      <c r="D87" s="8" t="s">
        <v>188</v>
      </c>
      <c r="E87" s="8" t="n">
        <v>1226</v>
      </c>
      <c r="F87" s="8" t="n">
        <v>65.2</v>
      </c>
      <c r="G87" s="8" t="n">
        <v>4</v>
      </c>
      <c r="H87" s="8" t="n">
        <v>0</v>
      </c>
      <c r="I87" s="8" t="n">
        <v>0</v>
      </c>
      <c r="J87" s="9" t="n">
        <f aca="false">IF(E87=0,"",G87/E87*100)</f>
        <v>0.32626427406199</v>
      </c>
      <c r="K87" s="9" t="n">
        <f aca="false">IF(E87=0,"",I87/E87*1000)</f>
        <v>0</v>
      </c>
      <c r="L87" s="8" t="n">
        <v>1</v>
      </c>
    </row>
    <row r="88" customFormat="false" ht="15" hidden="false" customHeight="true" outlineLevel="0" collapsed="false">
      <c r="A88" s="10" t="s">
        <v>23</v>
      </c>
      <c r="B88" s="10" t="s">
        <v>189</v>
      </c>
      <c r="C88" s="8" t="n">
        <v>24</v>
      </c>
      <c r="D88" s="8" t="s">
        <v>190</v>
      </c>
      <c r="E88" s="8" t="n">
        <v>980</v>
      </c>
      <c r="F88" s="8" t="n">
        <v>56.8</v>
      </c>
      <c r="G88" s="8" t="n">
        <v>13</v>
      </c>
      <c r="H88" s="8" t="n">
        <v>0</v>
      </c>
      <c r="I88" s="8" t="n">
        <v>0</v>
      </c>
      <c r="J88" s="9" t="n">
        <f aca="false">IF(E88=0,"",G88/E88*100)</f>
        <v>1.3265306122449</v>
      </c>
      <c r="K88" s="9" t="n">
        <f aca="false">IF(E88=0,"",I88/E88*1000)</f>
        <v>0</v>
      </c>
      <c r="L88" s="8" t="n">
        <v>1</v>
      </c>
    </row>
    <row r="89" customFormat="false" ht="15" hidden="false" customHeight="true" outlineLevel="0" collapsed="false">
      <c r="A89" s="10" t="s">
        <v>23</v>
      </c>
      <c r="B89" s="10" t="s">
        <v>189</v>
      </c>
      <c r="C89" s="8" t="n">
        <v>25</v>
      </c>
      <c r="D89" s="8" t="s">
        <v>191</v>
      </c>
      <c r="E89" s="8" t="n">
        <v>564</v>
      </c>
      <c r="F89" s="8" t="n">
        <v>40.9</v>
      </c>
      <c r="G89" s="8" t="n">
        <v>4</v>
      </c>
      <c r="H89" s="8" t="n">
        <v>0</v>
      </c>
      <c r="I89" s="8" t="n">
        <v>0</v>
      </c>
      <c r="J89" s="9" t="n">
        <f aca="false">IF(E89=0,"",G89/E89*100)</f>
        <v>0.709219858156028</v>
      </c>
      <c r="K89" s="9" t="n">
        <f aca="false">IF(E89=0,"",I89/E89*1000)</f>
        <v>0</v>
      </c>
      <c r="L89" s="8" t="n">
        <v>1</v>
      </c>
    </row>
    <row r="90" customFormat="false" ht="15" hidden="false" customHeight="true" outlineLevel="0" collapsed="false">
      <c r="A90" s="10" t="s">
        <v>23</v>
      </c>
      <c r="B90" s="10" t="s">
        <v>189</v>
      </c>
      <c r="C90" s="8" t="n">
        <v>26</v>
      </c>
      <c r="D90" s="8" t="s">
        <v>192</v>
      </c>
      <c r="E90" s="8" t="n">
        <v>1304</v>
      </c>
      <c r="F90" s="8" t="n">
        <v>48.6</v>
      </c>
      <c r="G90" s="8" t="n">
        <v>6</v>
      </c>
      <c r="H90" s="8" t="n">
        <v>0</v>
      </c>
      <c r="I90" s="8" t="n">
        <v>0</v>
      </c>
      <c r="J90" s="9" t="n">
        <f aca="false">IF(E90=0,"",G90/E90*100)</f>
        <v>0.460122699386503</v>
      </c>
      <c r="K90" s="9" t="n">
        <f aca="false">IF(E90=0,"",I90/E90*1000)</f>
        <v>0</v>
      </c>
      <c r="L90" s="8" t="n">
        <v>1</v>
      </c>
    </row>
    <row r="91" customFormat="false" ht="15" hidden="false" customHeight="true" outlineLevel="0" collapsed="false">
      <c r="A91" s="10" t="s">
        <v>23</v>
      </c>
      <c r="B91" s="10" t="s">
        <v>193</v>
      </c>
      <c r="C91" s="8" t="n">
        <v>27</v>
      </c>
      <c r="D91" s="10" t="s">
        <v>194</v>
      </c>
      <c r="E91" s="8" t="n">
        <v>816</v>
      </c>
      <c r="F91" s="8" t="n">
        <v>103.1</v>
      </c>
      <c r="G91" s="8" t="n">
        <v>5</v>
      </c>
      <c r="H91" s="8" t="n">
        <v>0</v>
      </c>
      <c r="I91" s="8" t="n">
        <v>0</v>
      </c>
      <c r="J91" s="9" t="n">
        <f aca="false">IF(E91=0,"",G91/E91*100)</f>
        <v>0.612745098039216</v>
      </c>
      <c r="K91" s="9" t="n">
        <f aca="false">IF(E91=0,"",I91/E91*1000)</f>
        <v>0</v>
      </c>
      <c r="L91" s="8" t="n">
        <v>1</v>
      </c>
    </row>
    <row r="92" customFormat="false" ht="15" hidden="false" customHeight="true" outlineLevel="0" collapsed="false">
      <c r="A92" s="10" t="s">
        <v>23</v>
      </c>
      <c r="B92" s="10" t="s">
        <v>193</v>
      </c>
      <c r="C92" s="8" t="n">
        <v>26</v>
      </c>
      <c r="D92" s="10" t="s">
        <v>195</v>
      </c>
      <c r="E92" s="8" t="n">
        <v>855</v>
      </c>
      <c r="F92" s="8" t="n">
        <v>39.1</v>
      </c>
      <c r="G92" s="8" t="n">
        <v>3</v>
      </c>
      <c r="H92" s="8" t="n">
        <v>1</v>
      </c>
      <c r="I92" s="8" t="n">
        <v>0</v>
      </c>
      <c r="J92" s="9" t="n">
        <f aca="false">IF(E92=0,"",G92/E92*100)</f>
        <v>0.350877192982456</v>
      </c>
      <c r="K92" s="9" t="n">
        <f aca="false">IF(E92=0,"",I92/E92*1000)</f>
        <v>0</v>
      </c>
      <c r="L92" s="8" t="n">
        <v>1</v>
      </c>
    </row>
    <row r="93" customFormat="false" ht="15" hidden="false" customHeight="true" outlineLevel="0" collapsed="false">
      <c r="A93" s="10" t="s">
        <v>23</v>
      </c>
      <c r="B93" s="10" t="s">
        <v>193</v>
      </c>
      <c r="C93" s="8" t="n">
        <v>28</v>
      </c>
      <c r="D93" s="8" t="s">
        <v>196</v>
      </c>
      <c r="E93" s="8" t="n">
        <v>305</v>
      </c>
      <c r="F93" s="8" t="n">
        <v>33.6</v>
      </c>
      <c r="G93" s="8" t="n">
        <v>0</v>
      </c>
      <c r="H93" s="8" t="n">
        <v>0</v>
      </c>
      <c r="I93" s="8" t="n">
        <v>0</v>
      </c>
      <c r="J93" s="9" t="n">
        <f aca="false">IF(E93=0,"",G93/E93*100)</f>
        <v>0</v>
      </c>
      <c r="K93" s="9" t="n">
        <f aca="false">IF(E93=0,"",I93/E93*1000)</f>
        <v>0</v>
      </c>
      <c r="L93" s="8" t="n">
        <v>1</v>
      </c>
    </row>
    <row r="94" customFormat="false" ht="15" hidden="false" customHeight="true" outlineLevel="0" collapsed="false">
      <c r="A94" s="10" t="s">
        <v>23</v>
      </c>
      <c r="B94" s="10" t="s">
        <v>197</v>
      </c>
      <c r="C94" s="8" t="n">
        <v>30</v>
      </c>
      <c r="D94" s="8" t="s">
        <v>198</v>
      </c>
      <c r="E94" s="8" t="n">
        <v>1105</v>
      </c>
      <c r="F94" s="8" t="n">
        <v>56.5</v>
      </c>
      <c r="G94" s="8" t="n">
        <v>4</v>
      </c>
      <c r="H94" s="8" t="n">
        <v>0</v>
      </c>
      <c r="I94" s="8" t="n">
        <v>1</v>
      </c>
      <c r="J94" s="9" t="n">
        <f aca="false">IF(E94=0,"",G94/E94*100)</f>
        <v>0.361990950226244</v>
      </c>
      <c r="K94" s="9" t="n">
        <f aca="false">IF(E94=0,"",I94/E94*1000)</f>
        <v>0.904977375565611</v>
      </c>
      <c r="L94" s="8" t="n">
        <v>1</v>
      </c>
    </row>
    <row r="95" customFormat="false" ht="15" hidden="false" customHeight="true" outlineLevel="0" collapsed="false">
      <c r="A95" s="10" t="s">
        <v>23</v>
      </c>
      <c r="B95" s="10" t="s">
        <v>197</v>
      </c>
      <c r="C95" s="8" t="n">
        <v>30</v>
      </c>
      <c r="D95" s="8" t="s">
        <v>199</v>
      </c>
      <c r="E95" s="8" t="n">
        <v>1373</v>
      </c>
      <c r="F95" s="8" t="n">
        <v>53.8</v>
      </c>
      <c r="G95" s="8" t="n">
        <v>4</v>
      </c>
      <c r="H95" s="8" t="n">
        <v>0</v>
      </c>
      <c r="I95" s="8" t="n">
        <v>0</v>
      </c>
      <c r="J95" s="9" t="n">
        <f aca="false">IF(E95=0,"",G95/E95*100)</f>
        <v>0.291332847778587</v>
      </c>
      <c r="K95" s="9" t="n">
        <f aca="false">IF(E95=0,"",I95/E95*1000)</f>
        <v>0</v>
      </c>
      <c r="L95" s="8" t="n">
        <v>1</v>
      </c>
    </row>
    <row r="96" customFormat="false" ht="15" hidden="false" customHeight="true" outlineLevel="0" collapsed="false">
      <c r="A96" s="10" t="s">
        <v>23</v>
      </c>
      <c r="B96" s="10" t="s">
        <v>197</v>
      </c>
      <c r="C96" s="8" t="n">
        <v>29</v>
      </c>
      <c r="D96" s="8" t="s">
        <v>200</v>
      </c>
      <c r="E96" s="8" t="n">
        <v>1116</v>
      </c>
      <c r="F96" s="8" t="n">
        <v>58.1</v>
      </c>
      <c r="G96" s="8" t="n">
        <v>3</v>
      </c>
      <c r="H96" s="8" t="n">
        <v>0</v>
      </c>
      <c r="I96" s="8" t="n">
        <v>0</v>
      </c>
      <c r="J96" s="9" t="n">
        <f aca="false">IF(E96=0,"",G96/E96*100)</f>
        <v>0.268817204301075</v>
      </c>
      <c r="K96" s="9" t="n">
        <f aca="false">IF(E96=0,"",I96/E96*1000)</f>
        <v>0</v>
      </c>
      <c r="L96" s="8" t="n">
        <v>1</v>
      </c>
    </row>
    <row r="97" customFormat="false" ht="15" hidden="false" customHeight="true" outlineLevel="0" collapsed="false">
      <c r="A97" s="10" t="s">
        <v>23</v>
      </c>
      <c r="B97" s="10" t="s">
        <v>197</v>
      </c>
      <c r="C97" s="8" t="n">
        <v>27</v>
      </c>
      <c r="D97" s="8" t="s">
        <v>201</v>
      </c>
      <c r="E97" s="8" t="n">
        <v>774</v>
      </c>
      <c r="F97" s="8" t="n">
        <v>36.1</v>
      </c>
      <c r="G97" s="8" t="n">
        <v>5</v>
      </c>
      <c r="H97" s="8" t="n">
        <v>0</v>
      </c>
      <c r="I97" s="8" t="n">
        <v>0</v>
      </c>
      <c r="J97" s="9" t="n">
        <f aca="false">IF(E97=0,"",G97/E97*100)</f>
        <v>0.645994832041344</v>
      </c>
      <c r="K97" s="9" t="n">
        <f aca="false">IF(E97=0,"",I97/E97*1000)</f>
        <v>0</v>
      </c>
      <c r="L97" s="8" t="n">
        <v>1</v>
      </c>
    </row>
    <row r="98" customFormat="false" ht="15" hidden="false" customHeight="true" outlineLevel="0" collapsed="false">
      <c r="A98" s="10" t="s">
        <v>23</v>
      </c>
      <c r="B98" s="10" t="s">
        <v>202</v>
      </c>
      <c r="C98" s="8" t="n">
        <v>29</v>
      </c>
      <c r="D98" s="8" t="s">
        <v>203</v>
      </c>
      <c r="E98" s="8" t="n">
        <v>934</v>
      </c>
      <c r="F98" s="8" t="n">
        <v>71.5</v>
      </c>
      <c r="G98" s="8" t="n">
        <v>8</v>
      </c>
      <c r="H98" s="8" t="n">
        <v>0</v>
      </c>
      <c r="I98" s="8" t="n">
        <v>0</v>
      </c>
      <c r="J98" s="9" t="n">
        <f aca="false">IF(E98=0,"",G98/E98*100)</f>
        <v>0.856531049250535</v>
      </c>
      <c r="K98" s="9" t="n">
        <f aca="false">IF(E98=0,"",I98/E98*1000)</f>
        <v>0</v>
      </c>
      <c r="L98" s="8" t="n">
        <v>1</v>
      </c>
    </row>
    <row r="99" customFormat="false" ht="15" hidden="false" customHeight="true" outlineLevel="0" collapsed="false">
      <c r="A99" s="10" t="s">
        <v>23</v>
      </c>
      <c r="B99" s="10" t="s">
        <v>202</v>
      </c>
      <c r="C99" s="8" t="n">
        <v>29</v>
      </c>
      <c r="D99" s="8" t="s">
        <v>204</v>
      </c>
      <c r="E99" s="8" t="n">
        <v>953</v>
      </c>
      <c r="F99" s="8" t="n">
        <v>59.2</v>
      </c>
      <c r="G99" s="8" t="n">
        <v>8</v>
      </c>
      <c r="H99" s="8" t="n">
        <v>0</v>
      </c>
      <c r="I99" s="8" t="n">
        <v>1</v>
      </c>
      <c r="J99" s="9" t="n">
        <f aca="false">IF(E99=0,"",G99/E99*100)</f>
        <v>0.839454354669465</v>
      </c>
      <c r="K99" s="9" t="n">
        <f aca="false">IF(E99=0,"",I99/E99*1000)</f>
        <v>1.04931794333683</v>
      </c>
      <c r="L99" s="8" t="n">
        <v>1</v>
      </c>
    </row>
    <row r="100" customFormat="false" ht="15" hidden="false" customHeight="true" outlineLevel="0" collapsed="false">
      <c r="A100" s="10" t="s">
        <v>23</v>
      </c>
      <c r="B100" s="10" t="s">
        <v>205</v>
      </c>
      <c r="C100" s="8" t="n">
        <v>30</v>
      </c>
      <c r="D100" s="8" t="s">
        <v>206</v>
      </c>
      <c r="E100" s="8" t="n">
        <v>7</v>
      </c>
      <c r="F100" s="8" t="n">
        <v>41.5</v>
      </c>
      <c r="G100" s="8" t="n">
        <v>0</v>
      </c>
      <c r="H100" s="8" t="n">
        <v>0</v>
      </c>
      <c r="I100" s="8" t="n">
        <v>0</v>
      </c>
      <c r="J100" s="9" t="n">
        <f aca="false">IF(E100=0,"",G100/E100*100)</f>
        <v>0</v>
      </c>
      <c r="K100" s="9" t="n">
        <f aca="false">IF(E100=0,"",I100/E100*1000)</f>
        <v>0</v>
      </c>
      <c r="L100" s="8" t="n">
        <v>0</v>
      </c>
    </row>
    <row r="101" customFormat="false" ht="15" hidden="false" customHeight="true" outlineLevel="0" collapsed="false">
      <c r="A101" s="10" t="s">
        <v>23</v>
      </c>
      <c r="B101" s="10" t="s">
        <v>205</v>
      </c>
      <c r="C101" s="8" t="n">
        <v>31</v>
      </c>
      <c r="D101" s="10" t="s">
        <v>207</v>
      </c>
      <c r="E101" s="8" t="n">
        <v>2</v>
      </c>
      <c r="F101" s="8" t="n">
        <v>51.2</v>
      </c>
      <c r="G101" s="8" t="n">
        <v>0</v>
      </c>
      <c r="H101" s="8" t="n">
        <v>0</v>
      </c>
      <c r="I101" s="8" t="n">
        <v>0</v>
      </c>
      <c r="J101" s="9" t="n">
        <f aca="false">IF(E101=0,"",G101/E101*100)</f>
        <v>0</v>
      </c>
      <c r="K101" s="9" t="n">
        <f aca="false">IF(E101=0,"",I101/E101*1000)</f>
        <v>0</v>
      </c>
      <c r="L101" s="8" t="n">
        <v>0</v>
      </c>
    </row>
    <row r="102" customFormat="false" ht="15" hidden="false" customHeight="true" outlineLevel="0" collapsed="false">
      <c r="A102" s="10" t="s">
        <v>23</v>
      </c>
      <c r="B102" s="10" t="s">
        <v>205</v>
      </c>
      <c r="C102" s="8" t="n">
        <v>29</v>
      </c>
      <c r="D102" s="8" t="s">
        <v>208</v>
      </c>
      <c r="E102" s="8" t="n">
        <v>1163</v>
      </c>
      <c r="F102" s="8" t="n">
        <v>45.4</v>
      </c>
      <c r="G102" s="8" t="n">
        <v>5</v>
      </c>
      <c r="H102" s="8" t="n">
        <v>0</v>
      </c>
      <c r="I102" s="8" t="n">
        <v>0</v>
      </c>
      <c r="J102" s="9" t="n">
        <f aca="false">IF(E102=0,"",G102/E102*100)</f>
        <v>0.429922613929493</v>
      </c>
      <c r="K102" s="9" t="n">
        <f aca="false">IF(E102=0,"",I102/E102*1000)</f>
        <v>0</v>
      </c>
      <c r="L102" s="8" t="n">
        <v>1</v>
      </c>
    </row>
    <row r="103" customFormat="false" ht="15" hidden="false" customHeight="true" outlineLevel="0" collapsed="false">
      <c r="A103" s="10" t="s">
        <v>23</v>
      </c>
      <c r="B103" s="10" t="s">
        <v>209</v>
      </c>
      <c r="C103" s="8" t="n">
        <v>30</v>
      </c>
      <c r="D103" s="8" t="s">
        <v>210</v>
      </c>
      <c r="E103" s="8" t="n">
        <v>1</v>
      </c>
      <c r="F103" s="8" t="n">
        <v>0</v>
      </c>
      <c r="G103" s="8" t="n">
        <v>0</v>
      </c>
      <c r="H103" s="8" t="n">
        <v>0</v>
      </c>
      <c r="I103" s="8" t="n">
        <v>0</v>
      </c>
      <c r="J103" s="9" t="n">
        <f aca="false">IF(E103=0,"",G103/E103*100)</f>
        <v>0</v>
      </c>
      <c r="K103" s="9" t="n">
        <f aca="false">IF(E103=0,"",I103/E103*1000)</f>
        <v>0</v>
      </c>
      <c r="L103" s="8" t="n">
        <v>0</v>
      </c>
    </row>
    <row r="104" customFormat="false" ht="15" hidden="false" customHeight="true" outlineLevel="0" collapsed="false">
      <c r="A104" s="10" t="s">
        <v>23</v>
      </c>
      <c r="B104" s="10" t="s">
        <v>209</v>
      </c>
      <c r="C104" s="8" t="n">
        <v>30</v>
      </c>
      <c r="D104" s="8" t="s">
        <v>211</v>
      </c>
      <c r="E104" s="8" t="n">
        <v>861</v>
      </c>
      <c r="F104" s="8" t="n">
        <v>118.9</v>
      </c>
      <c r="G104" s="8" t="n">
        <v>2</v>
      </c>
      <c r="H104" s="8" t="n">
        <v>0</v>
      </c>
      <c r="I104" s="8" t="n">
        <v>1</v>
      </c>
      <c r="J104" s="9" t="n">
        <f aca="false">IF(E104=0,"",G104/E104*100)</f>
        <v>0.232288037166086</v>
      </c>
      <c r="K104" s="9" t="n">
        <f aca="false">IF(E104=0,"",I104/E104*1000)</f>
        <v>1.16144018583043</v>
      </c>
      <c r="L104" s="8" t="n">
        <v>1</v>
      </c>
    </row>
    <row r="105" customFormat="false" ht="15" hidden="false" customHeight="true" outlineLevel="0" collapsed="false">
      <c r="A105" s="10" t="s">
        <v>23</v>
      </c>
      <c r="B105" s="10" t="s">
        <v>209</v>
      </c>
      <c r="C105" s="8" t="n">
        <v>30</v>
      </c>
      <c r="D105" s="8" t="s">
        <v>212</v>
      </c>
      <c r="E105" s="8" t="n">
        <v>5</v>
      </c>
      <c r="F105" s="8" t="n">
        <v>84.3</v>
      </c>
      <c r="G105" s="8" t="n">
        <v>0</v>
      </c>
      <c r="H105" s="8" t="n">
        <v>0</v>
      </c>
      <c r="I105" s="8" t="n">
        <v>0</v>
      </c>
      <c r="J105" s="9" t="n">
        <f aca="false">IF(E105=0,"",G105/E105*100)</f>
        <v>0</v>
      </c>
      <c r="K105" s="9" t="n">
        <f aca="false">IF(E105=0,"",I105/E105*1000)</f>
        <v>0</v>
      </c>
      <c r="L105" s="8" t="n">
        <v>0</v>
      </c>
    </row>
    <row r="106" customFormat="false" ht="15" hidden="false" customHeight="true" outlineLevel="0" collapsed="false">
      <c r="A106" s="10" t="s">
        <v>23</v>
      </c>
      <c r="B106" s="10" t="s">
        <v>213</v>
      </c>
      <c r="C106" s="8" t="n">
        <v>29</v>
      </c>
      <c r="D106" s="8" t="s">
        <v>214</v>
      </c>
      <c r="E106" s="8" t="n">
        <v>748</v>
      </c>
      <c r="F106" s="8" t="n">
        <v>61.5</v>
      </c>
      <c r="G106" s="8" t="n">
        <v>1</v>
      </c>
      <c r="H106" s="8" t="n">
        <v>0</v>
      </c>
      <c r="I106" s="8" t="n">
        <v>0</v>
      </c>
      <c r="J106" s="9" t="n">
        <f aca="false">IF(E106=0,"",G106/E106*100)</f>
        <v>0.133689839572193</v>
      </c>
      <c r="K106" s="9" t="n">
        <f aca="false">IF(E106=0,"",I106/E106*1000)</f>
        <v>0</v>
      </c>
      <c r="L106" s="8" t="n">
        <v>1</v>
      </c>
    </row>
    <row r="107" customFormat="false" ht="15" hidden="false" customHeight="true" outlineLevel="0" collapsed="false">
      <c r="A107" s="10" t="s">
        <v>23</v>
      </c>
      <c r="B107" s="10" t="s">
        <v>213</v>
      </c>
      <c r="C107" s="8" t="n">
        <v>29</v>
      </c>
      <c r="D107" s="8" t="s">
        <v>215</v>
      </c>
      <c r="E107" s="8" t="n">
        <v>779</v>
      </c>
      <c r="F107" s="8" t="n">
        <v>36.5</v>
      </c>
      <c r="G107" s="8" t="n">
        <v>2</v>
      </c>
      <c r="H107" s="8" t="n">
        <v>0</v>
      </c>
      <c r="I107" s="8" t="n">
        <v>0</v>
      </c>
      <c r="J107" s="9" t="n">
        <f aca="false">IF(E107=0,"",G107/E107*100)</f>
        <v>0.256739409499358</v>
      </c>
      <c r="K107" s="9" t="n">
        <f aca="false">IF(E107=0,"",I107/E107*1000)</f>
        <v>0</v>
      </c>
      <c r="L107" s="8" t="n">
        <v>1</v>
      </c>
    </row>
    <row r="108" customFormat="false" ht="15" hidden="false" customHeight="true" outlineLevel="0" collapsed="false">
      <c r="A108" s="10" t="s">
        <v>23</v>
      </c>
      <c r="B108" s="10" t="s">
        <v>213</v>
      </c>
      <c r="C108" s="8" t="n">
        <v>29</v>
      </c>
      <c r="D108" s="8" t="s">
        <v>216</v>
      </c>
      <c r="E108" s="8" t="n">
        <v>973</v>
      </c>
      <c r="F108" s="8" t="n">
        <v>79.8</v>
      </c>
      <c r="G108" s="8" t="n">
        <v>4</v>
      </c>
      <c r="H108" s="8" t="n">
        <v>0</v>
      </c>
      <c r="I108" s="8" t="n">
        <v>0</v>
      </c>
      <c r="J108" s="9" t="n">
        <f aca="false">IF(E108=0,"",G108/E108*100)</f>
        <v>0.411099691675231</v>
      </c>
      <c r="K108" s="9" t="n">
        <f aca="false">IF(E108=0,"",I108/E108*1000)</f>
        <v>0</v>
      </c>
      <c r="L108" s="8" t="n">
        <v>1</v>
      </c>
    </row>
    <row r="109" customFormat="false" ht="15" hidden="false" customHeight="true" outlineLevel="0" collapsed="false">
      <c r="A109" s="10" t="s">
        <v>23</v>
      </c>
      <c r="B109" s="10" t="s">
        <v>217</v>
      </c>
      <c r="C109" s="8" t="n">
        <v>28</v>
      </c>
      <c r="D109" s="8" t="s">
        <v>218</v>
      </c>
      <c r="E109" s="8" t="n">
        <v>904</v>
      </c>
      <c r="F109" s="8" t="n">
        <v>103.1</v>
      </c>
      <c r="G109" s="8" t="n">
        <v>5</v>
      </c>
      <c r="H109" s="8" t="n">
        <v>0</v>
      </c>
      <c r="I109" s="8" t="n">
        <v>0</v>
      </c>
      <c r="J109" s="9" t="n">
        <f aca="false">IF(E109=0,"",G109/E109*100)</f>
        <v>0.553097345132743</v>
      </c>
      <c r="K109" s="9" t="n">
        <f aca="false">IF(E109=0,"",I109/E109*1000)</f>
        <v>0</v>
      </c>
      <c r="L109" s="8" t="n">
        <v>1</v>
      </c>
    </row>
    <row r="110" customFormat="false" ht="15" hidden="false" customHeight="true" outlineLevel="0" collapsed="false">
      <c r="A110" s="10" t="s">
        <v>23</v>
      </c>
      <c r="B110" s="10" t="s">
        <v>217</v>
      </c>
      <c r="C110" s="8" t="n">
        <v>28</v>
      </c>
      <c r="D110" s="8" t="s">
        <v>219</v>
      </c>
      <c r="E110" s="8" t="n">
        <v>813</v>
      </c>
      <c r="F110" s="8" t="n">
        <v>42.9</v>
      </c>
      <c r="G110" s="8" t="n">
        <v>4</v>
      </c>
      <c r="H110" s="8" t="n">
        <v>0</v>
      </c>
      <c r="I110" s="8" t="n">
        <v>1</v>
      </c>
      <c r="J110" s="9" t="n">
        <f aca="false">IF(E110=0,"",G110/E110*100)</f>
        <v>0.492004920049201</v>
      </c>
      <c r="K110" s="9" t="n">
        <f aca="false">IF(E110=0,"",I110/E110*1000)</f>
        <v>1.230012300123</v>
      </c>
      <c r="L110" s="8" t="n">
        <v>1</v>
      </c>
    </row>
    <row r="111" customFormat="false" ht="15" hidden="false" customHeight="true" outlineLevel="0" collapsed="false">
      <c r="A111" s="10" t="s">
        <v>23</v>
      </c>
      <c r="B111" s="10" t="s">
        <v>217</v>
      </c>
      <c r="C111" s="8" t="n">
        <v>28</v>
      </c>
      <c r="D111" s="8" t="s">
        <v>220</v>
      </c>
      <c r="E111" s="8" t="n">
        <v>213</v>
      </c>
      <c r="F111" s="8" t="n">
        <v>53.1</v>
      </c>
      <c r="G111" s="8" t="n">
        <v>0</v>
      </c>
      <c r="H111" s="8" t="n">
        <v>0</v>
      </c>
      <c r="I111" s="8" t="n">
        <v>0</v>
      </c>
      <c r="J111" s="9" t="n">
        <f aca="false">IF(E111=0,"",G111/E111*100)</f>
        <v>0</v>
      </c>
      <c r="K111" s="9" t="n">
        <f aca="false">IF(E111=0,"",I111/E111*1000)</f>
        <v>0</v>
      </c>
      <c r="L111" s="8" t="n">
        <v>0</v>
      </c>
    </row>
    <row r="112" customFormat="false" ht="15" hidden="false" customHeight="true" outlineLevel="0" collapsed="false">
      <c r="A112" s="10" t="s">
        <v>23</v>
      </c>
      <c r="B112" s="10" t="s">
        <v>221</v>
      </c>
      <c r="C112" s="8" t="n">
        <v>26</v>
      </c>
      <c r="D112" s="8" t="s">
        <v>222</v>
      </c>
      <c r="E112" s="8" t="n">
        <v>1132</v>
      </c>
      <c r="F112" s="8" t="n">
        <v>59.3</v>
      </c>
      <c r="G112" s="8" t="n">
        <v>5</v>
      </c>
      <c r="H112" s="8" t="n">
        <v>0</v>
      </c>
      <c r="I112" s="8" t="n">
        <v>0</v>
      </c>
      <c r="J112" s="9" t="n">
        <f aca="false">IF(E112=0,"",G112/E112*100)</f>
        <v>0.441696113074205</v>
      </c>
      <c r="K112" s="9" t="n">
        <f aca="false">IF(E112=0,"",I112/E112*1000)</f>
        <v>0</v>
      </c>
      <c r="L112" s="8" t="n">
        <v>1</v>
      </c>
    </row>
    <row r="113" customFormat="false" ht="15" hidden="false" customHeight="true" outlineLevel="0" collapsed="false">
      <c r="A113" s="10" t="s">
        <v>23</v>
      </c>
      <c r="B113" s="10" t="s">
        <v>223</v>
      </c>
      <c r="C113" s="8" t="n">
        <v>25</v>
      </c>
      <c r="D113" s="8" t="s">
        <v>224</v>
      </c>
      <c r="E113" s="8" t="n">
        <v>870</v>
      </c>
      <c r="F113" s="8" t="n">
        <v>43.5</v>
      </c>
      <c r="G113" s="8" t="n">
        <v>1</v>
      </c>
      <c r="H113" s="8" t="n">
        <v>1</v>
      </c>
      <c r="I113" s="8" t="n">
        <v>0</v>
      </c>
      <c r="J113" s="9" t="n">
        <f aca="false">IF(E113=0,"",G113/E113*100)</f>
        <v>0.114942528735632</v>
      </c>
      <c r="K113" s="9" t="n">
        <f aca="false">IF(E113=0,"",I113/E113*1000)</f>
        <v>0</v>
      </c>
      <c r="L113" s="8" t="n">
        <v>1</v>
      </c>
    </row>
    <row r="114" customFormat="false" ht="15" hidden="false" customHeight="true" outlineLevel="0" collapsed="false">
      <c r="A114" s="10" t="s">
        <v>23</v>
      </c>
      <c r="B114" s="10" t="s">
        <v>225</v>
      </c>
      <c r="C114" s="8" t="n">
        <v>23</v>
      </c>
      <c r="D114" s="8" t="s">
        <v>226</v>
      </c>
      <c r="E114" s="8" t="n">
        <v>894</v>
      </c>
      <c r="F114" s="8" t="n">
        <v>38.9</v>
      </c>
      <c r="G114" s="8" t="n">
        <v>0</v>
      </c>
      <c r="H114" s="8" t="n">
        <v>0</v>
      </c>
      <c r="I114" s="8" t="n">
        <v>1</v>
      </c>
      <c r="J114" s="9" t="n">
        <f aca="false">IF(E114=0,"",G114/E114*100)</f>
        <v>0</v>
      </c>
      <c r="K114" s="9" t="n">
        <f aca="false">IF(E114=0,"",I114/E114*1000)</f>
        <v>1.11856823266219</v>
      </c>
      <c r="L114" s="8" t="n">
        <v>1</v>
      </c>
    </row>
    <row r="115" customFormat="false" ht="15" hidden="false" customHeight="true" outlineLevel="0" collapsed="false">
      <c r="A115" s="10" t="s">
        <v>23</v>
      </c>
      <c r="B115" s="10" t="s">
        <v>227</v>
      </c>
      <c r="C115" s="8" t="n">
        <v>22</v>
      </c>
      <c r="D115" s="8" t="s">
        <v>228</v>
      </c>
      <c r="E115" s="8" t="n">
        <v>1244</v>
      </c>
      <c r="F115" s="8" t="n">
        <v>54.1</v>
      </c>
      <c r="G115" s="8" t="n">
        <v>3</v>
      </c>
      <c r="H115" s="8" t="n">
        <v>1</v>
      </c>
      <c r="I115" s="8" t="n">
        <v>0</v>
      </c>
      <c r="J115" s="9" t="n">
        <f aca="false">IF(E115=0,"",G115/E115*100)</f>
        <v>0.241157556270097</v>
      </c>
      <c r="K115" s="9" t="n">
        <f aca="false">IF(E115=0,"",I115/E115*1000)</f>
        <v>0</v>
      </c>
      <c r="L115" s="8" t="n">
        <v>1</v>
      </c>
    </row>
    <row r="116" customFormat="false" ht="15" hidden="false" customHeight="true" outlineLevel="0" collapsed="false">
      <c r="A116" s="10" t="s">
        <v>23</v>
      </c>
      <c r="B116" s="10" t="s">
        <v>227</v>
      </c>
      <c r="C116" s="8" t="n">
        <v>22</v>
      </c>
      <c r="D116" s="8" t="s">
        <v>229</v>
      </c>
      <c r="E116" s="8" t="n">
        <v>208</v>
      </c>
      <c r="F116" s="8" t="n">
        <v>56.2</v>
      </c>
      <c r="G116" s="8" t="n">
        <v>0</v>
      </c>
      <c r="H116" s="8" t="n">
        <v>0</v>
      </c>
      <c r="I116" s="8" t="n">
        <v>0</v>
      </c>
      <c r="J116" s="9" t="n">
        <f aca="false">IF(E116=0,"",G116/E116*100)</f>
        <v>0</v>
      </c>
      <c r="K116" s="9" t="n">
        <f aca="false">IF(E116=0,"",I116/E116*1000)</f>
        <v>0</v>
      </c>
      <c r="L116" s="8" t="n">
        <v>0</v>
      </c>
    </row>
    <row r="117" customFormat="false" ht="15" hidden="false" customHeight="true" outlineLevel="0" collapsed="false">
      <c r="A117" s="10" t="s">
        <v>23</v>
      </c>
      <c r="B117" s="10" t="s">
        <v>227</v>
      </c>
      <c r="C117" s="8" t="n">
        <v>22</v>
      </c>
      <c r="D117" s="8" t="s">
        <v>230</v>
      </c>
      <c r="E117" s="8" t="n">
        <v>363</v>
      </c>
      <c r="F117" s="8" t="n">
        <v>65.5</v>
      </c>
      <c r="G117" s="8" t="n">
        <v>4</v>
      </c>
      <c r="H117" s="8" t="n">
        <v>0</v>
      </c>
      <c r="I117" s="8" t="n">
        <v>0</v>
      </c>
      <c r="J117" s="9" t="n">
        <f aca="false">IF(E117=0,"",G117/E117*100)</f>
        <v>1.10192837465565</v>
      </c>
      <c r="K117" s="9" t="n">
        <f aca="false">IF(E117=0,"",I117/E117*1000)</f>
        <v>0</v>
      </c>
      <c r="L117" s="8" t="n">
        <v>1</v>
      </c>
    </row>
    <row r="118" customFormat="false" ht="15" hidden="false" customHeight="true" outlineLevel="0" collapsed="false">
      <c r="A118" s="10" t="s">
        <v>23</v>
      </c>
      <c r="B118" s="10" t="s">
        <v>231</v>
      </c>
      <c r="C118" s="8" t="n">
        <v>21</v>
      </c>
      <c r="D118" s="8" t="s">
        <v>232</v>
      </c>
      <c r="E118" s="8" t="n">
        <v>191</v>
      </c>
      <c r="F118" s="8" t="n">
        <v>69.5</v>
      </c>
      <c r="G118" s="8" t="n">
        <v>0</v>
      </c>
      <c r="H118" s="8" t="n">
        <v>0</v>
      </c>
      <c r="I118" s="8" t="n">
        <v>0</v>
      </c>
      <c r="J118" s="9" t="n">
        <f aca="false">IF(E118=0,"",G118/E118*100)</f>
        <v>0</v>
      </c>
      <c r="K118" s="9" t="n">
        <f aca="false">IF(E118=0,"",I118/E118*1000)</f>
        <v>0</v>
      </c>
      <c r="L118" s="8" t="n">
        <v>0</v>
      </c>
    </row>
    <row r="119" customFormat="false" ht="15" hidden="false" customHeight="true" outlineLevel="0" collapsed="false">
      <c r="A119" s="10" t="s">
        <v>23</v>
      </c>
      <c r="B119" s="10" t="s">
        <v>231</v>
      </c>
      <c r="C119" s="8" t="n">
        <v>21</v>
      </c>
      <c r="D119" s="8" t="s">
        <v>233</v>
      </c>
      <c r="E119" s="8" t="n">
        <v>1040</v>
      </c>
      <c r="F119" s="8" t="n">
        <v>34.5</v>
      </c>
      <c r="G119" s="8" t="n">
        <v>6</v>
      </c>
      <c r="H119" s="8" t="n">
        <v>0</v>
      </c>
      <c r="I119" s="8" t="n">
        <v>0</v>
      </c>
      <c r="J119" s="9" t="n">
        <f aca="false">IF(E119=0,"",G119/E119*100)</f>
        <v>0.576923076923077</v>
      </c>
      <c r="K119" s="9" t="n">
        <f aca="false">IF(E119=0,"",I119/E119*1000)</f>
        <v>0</v>
      </c>
      <c r="L119" s="8" t="n">
        <v>1</v>
      </c>
    </row>
    <row r="120" customFormat="false" ht="15" hidden="false" customHeight="true" outlineLevel="0" collapsed="false">
      <c r="A120" s="10" t="s">
        <v>23</v>
      </c>
      <c r="B120" s="10" t="s">
        <v>234</v>
      </c>
      <c r="C120" s="8" t="n">
        <v>20</v>
      </c>
      <c r="D120" s="8" t="s">
        <v>235</v>
      </c>
      <c r="E120" s="8" t="n">
        <v>1279</v>
      </c>
      <c r="F120" s="8" t="n">
        <v>40.6</v>
      </c>
      <c r="G120" s="8" t="n">
        <v>2</v>
      </c>
      <c r="H120" s="8" t="n">
        <v>0</v>
      </c>
      <c r="I120" s="8" t="n">
        <v>0</v>
      </c>
      <c r="J120" s="9" t="n">
        <f aca="false">IF(E120=0,"",G120/E120*100)</f>
        <v>0.156372165754496</v>
      </c>
      <c r="K120" s="9" t="n">
        <f aca="false">IF(E120=0,"",I120/E120*1000)</f>
        <v>0</v>
      </c>
      <c r="L120" s="8" t="n">
        <v>1</v>
      </c>
    </row>
    <row r="121" customFormat="false" ht="15" hidden="false" customHeight="true" outlineLevel="0" collapsed="false">
      <c r="A121" s="10" t="s">
        <v>23</v>
      </c>
      <c r="B121" s="10" t="s">
        <v>236</v>
      </c>
      <c r="C121" s="8" t="n">
        <v>19</v>
      </c>
      <c r="D121" s="8" t="s">
        <v>237</v>
      </c>
      <c r="E121" s="8" t="n">
        <v>1054</v>
      </c>
      <c r="F121" s="8" t="n">
        <v>56</v>
      </c>
      <c r="G121" s="8" t="n">
        <v>2</v>
      </c>
      <c r="H121" s="8" t="n">
        <v>0</v>
      </c>
      <c r="I121" s="8" t="n">
        <v>0</v>
      </c>
      <c r="J121" s="9" t="n">
        <f aca="false">IF(E121=0,"",G121/E121*100)</f>
        <v>0.189753320683112</v>
      </c>
      <c r="K121" s="9" t="n">
        <f aca="false">IF(E121=0,"",I121/E121*1000)</f>
        <v>0</v>
      </c>
      <c r="L121" s="8" t="n">
        <v>1</v>
      </c>
    </row>
    <row r="122" customFormat="false" ht="15" hidden="false" customHeight="true" outlineLevel="0" collapsed="false">
      <c r="A122" s="10" t="s">
        <v>23</v>
      </c>
      <c r="B122" s="10" t="s">
        <v>236</v>
      </c>
      <c r="C122" s="8" t="n">
        <v>19</v>
      </c>
      <c r="D122" s="8" t="s">
        <v>238</v>
      </c>
      <c r="E122" s="8" t="n">
        <v>832</v>
      </c>
      <c r="F122" s="8" t="n">
        <v>51.6</v>
      </c>
      <c r="G122" s="8" t="n">
        <v>4</v>
      </c>
      <c r="H122" s="8" t="n">
        <v>1</v>
      </c>
      <c r="I122" s="8" t="n">
        <v>1</v>
      </c>
      <c r="J122" s="9" t="n">
        <f aca="false">IF(E122=0,"",G122/E122*100)</f>
        <v>0.480769230769231</v>
      </c>
      <c r="K122" s="9" t="n">
        <f aca="false">IF(E122=0,"",I122/E122*1000)</f>
        <v>1.20192307692308</v>
      </c>
      <c r="L122" s="8" t="n">
        <v>1</v>
      </c>
    </row>
    <row r="123" customFormat="false" ht="15" hidden="false" customHeight="true" outlineLevel="0" collapsed="false">
      <c r="A123" s="10" t="s">
        <v>23</v>
      </c>
      <c r="B123" s="10" t="s">
        <v>236</v>
      </c>
      <c r="C123" s="8" t="n">
        <v>19</v>
      </c>
      <c r="D123" s="8" t="s">
        <v>239</v>
      </c>
      <c r="E123" s="8" t="n">
        <v>819</v>
      </c>
      <c r="F123" s="8" t="n">
        <v>36.8</v>
      </c>
      <c r="G123" s="8" t="n">
        <v>1</v>
      </c>
      <c r="H123" s="8" t="n">
        <v>0</v>
      </c>
      <c r="I123" s="8" t="n">
        <v>2</v>
      </c>
      <c r="J123" s="9" t="n">
        <f aca="false">IF(E123=0,"",G123/E123*100)</f>
        <v>0.122100122100122</v>
      </c>
      <c r="K123" s="9" t="n">
        <f aca="false">IF(E123=0,"",I123/E123*1000)</f>
        <v>2.44200244200244</v>
      </c>
      <c r="L123" s="8" t="n">
        <v>1</v>
      </c>
    </row>
    <row r="124" customFormat="false" ht="15" hidden="false" customHeight="true" outlineLevel="0" collapsed="false">
      <c r="A124" s="10" t="s">
        <v>23</v>
      </c>
      <c r="B124" s="10" t="s">
        <v>240</v>
      </c>
      <c r="C124" s="8" t="n">
        <v>18</v>
      </c>
      <c r="D124" s="8" t="s">
        <v>241</v>
      </c>
      <c r="E124" s="8" t="n">
        <v>1078</v>
      </c>
      <c r="F124" s="8" t="n">
        <v>76.7</v>
      </c>
      <c r="G124" s="8" t="n">
        <v>4</v>
      </c>
      <c r="H124" s="8" t="n">
        <v>0</v>
      </c>
      <c r="I124" s="8" t="n">
        <v>0</v>
      </c>
      <c r="J124" s="9" t="n">
        <f aca="false">IF(E124=0,"",G124/E124*100)</f>
        <v>0.371057513914657</v>
      </c>
      <c r="K124" s="9" t="n">
        <f aca="false">IF(E124=0,"",I124/E124*1000)</f>
        <v>0</v>
      </c>
      <c r="L124" s="8" t="n">
        <v>1</v>
      </c>
    </row>
    <row r="125" customFormat="false" ht="15" hidden="false" customHeight="true" outlineLevel="0" collapsed="false">
      <c r="A125" s="10" t="s">
        <v>23</v>
      </c>
      <c r="B125" s="10" t="s">
        <v>240</v>
      </c>
      <c r="C125" s="8" t="n">
        <v>18</v>
      </c>
      <c r="D125" s="8" t="s">
        <v>242</v>
      </c>
      <c r="E125" s="8" t="n">
        <v>963</v>
      </c>
      <c r="F125" s="8" t="n">
        <v>49.5</v>
      </c>
      <c r="G125" s="8" t="n">
        <v>8</v>
      </c>
      <c r="H125" s="8" t="n">
        <v>0</v>
      </c>
      <c r="I125" s="8" t="n">
        <v>1</v>
      </c>
      <c r="J125" s="9" t="n">
        <f aca="false">IF(E125=0,"",G125/E125*100)</f>
        <v>0.83073727933541</v>
      </c>
      <c r="K125" s="9" t="n">
        <f aca="false">IF(E125=0,"",I125/E125*1000)</f>
        <v>1.03842159916926</v>
      </c>
      <c r="L125" s="8" t="n">
        <v>1</v>
      </c>
    </row>
    <row r="126" customFormat="false" ht="15" hidden="false" customHeight="true" outlineLevel="0" collapsed="false">
      <c r="A126" s="10" t="s">
        <v>23</v>
      </c>
      <c r="B126" s="10" t="s">
        <v>240</v>
      </c>
      <c r="C126" s="8" t="n">
        <v>18</v>
      </c>
      <c r="D126" s="8" t="s">
        <v>243</v>
      </c>
      <c r="E126" s="8" t="n">
        <v>1168</v>
      </c>
      <c r="F126" s="8" t="n">
        <v>63.1</v>
      </c>
      <c r="G126" s="8" t="n">
        <v>2</v>
      </c>
      <c r="H126" s="8" t="n">
        <v>0</v>
      </c>
      <c r="I126" s="8" t="n">
        <v>0</v>
      </c>
      <c r="J126" s="9" t="n">
        <f aca="false">IF(E126=0,"",G126/E126*100)</f>
        <v>0.171232876712329</v>
      </c>
      <c r="K126" s="9" t="n">
        <f aca="false">IF(E126=0,"",I126/E126*1000)</f>
        <v>0</v>
      </c>
      <c r="L126" s="8" t="n">
        <v>1</v>
      </c>
    </row>
    <row r="127" customFormat="false" ht="15" hidden="false" customHeight="true" outlineLevel="0" collapsed="false">
      <c r="A127" s="10" t="s">
        <v>23</v>
      </c>
      <c r="B127" s="10" t="s">
        <v>244</v>
      </c>
      <c r="C127" s="8" t="n">
        <v>17</v>
      </c>
      <c r="D127" s="8" t="s">
        <v>245</v>
      </c>
      <c r="E127" s="8" t="n">
        <v>1197</v>
      </c>
      <c r="F127" s="8" t="n">
        <v>60.3</v>
      </c>
      <c r="G127" s="8" t="n">
        <v>1</v>
      </c>
      <c r="H127" s="8" t="n">
        <v>0</v>
      </c>
      <c r="I127" s="8" t="n">
        <v>0</v>
      </c>
      <c r="J127" s="9" t="n">
        <f aca="false">IF(E127=0,"",G127/E127*100)</f>
        <v>0.0835421888053467</v>
      </c>
      <c r="K127" s="9" t="n">
        <f aca="false">IF(E127=0,"",I127/E127*1000)</f>
        <v>0</v>
      </c>
      <c r="L127" s="8" t="n">
        <v>1</v>
      </c>
    </row>
    <row r="128" customFormat="false" ht="15" hidden="false" customHeight="true" outlineLevel="0" collapsed="false">
      <c r="A128" s="10" t="s">
        <v>23</v>
      </c>
      <c r="B128" s="10" t="s">
        <v>244</v>
      </c>
      <c r="C128" s="8" t="n">
        <v>17</v>
      </c>
      <c r="D128" s="8" t="s">
        <v>246</v>
      </c>
      <c r="E128" s="8" t="n">
        <v>991</v>
      </c>
      <c r="F128" s="8" t="n">
        <v>35.1</v>
      </c>
      <c r="G128" s="8" t="n">
        <v>3</v>
      </c>
      <c r="H128" s="8" t="n">
        <v>0</v>
      </c>
      <c r="I128" s="8" t="n">
        <v>0</v>
      </c>
      <c r="J128" s="9" t="n">
        <f aca="false">IF(E128=0,"",G128/E128*100)</f>
        <v>0.302724520686176</v>
      </c>
      <c r="K128" s="9" t="n">
        <f aca="false">IF(E128=0,"",I128/E128*1000)</f>
        <v>0</v>
      </c>
      <c r="L128" s="8" t="n">
        <v>1</v>
      </c>
    </row>
    <row r="129" customFormat="false" ht="15" hidden="false" customHeight="true" outlineLevel="0" collapsed="false">
      <c r="A129" s="10" t="s">
        <v>23</v>
      </c>
      <c r="B129" s="10" t="s">
        <v>244</v>
      </c>
      <c r="C129" s="8" t="n">
        <v>17</v>
      </c>
      <c r="D129" s="8" t="s">
        <v>247</v>
      </c>
      <c r="E129" s="8" t="n">
        <v>1133</v>
      </c>
      <c r="F129" s="8" t="n">
        <v>62.3</v>
      </c>
      <c r="G129" s="8" t="n">
        <v>5</v>
      </c>
      <c r="H129" s="8" t="n">
        <v>0</v>
      </c>
      <c r="I129" s="8" t="n">
        <v>1</v>
      </c>
      <c r="J129" s="9" t="n">
        <f aca="false">IF(E129=0,"",G129/E129*100)</f>
        <v>0.441306266548985</v>
      </c>
      <c r="K129" s="9" t="n">
        <f aca="false">IF(E129=0,"",I129/E129*1000)</f>
        <v>0.88261253309797</v>
      </c>
      <c r="L129" s="8" t="n">
        <v>1</v>
      </c>
    </row>
    <row r="130" customFormat="false" ht="15" hidden="false" customHeight="true" outlineLevel="0" collapsed="false">
      <c r="A130" s="10" t="s">
        <v>23</v>
      </c>
      <c r="B130" s="10" t="s">
        <v>248</v>
      </c>
      <c r="C130" s="8" t="n">
        <v>15</v>
      </c>
      <c r="D130" s="8" t="s">
        <v>249</v>
      </c>
      <c r="E130" s="8" t="n">
        <v>293</v>
      </c>
      <c r="F130" s="8" t="n">
        <v>587.7</v>
      </c>
      <c r="G130" s="8" t="n">
        <v>0</v>
      </c>
      <c r="H130" s="8" t="n">
        <v>0</v>
      </c>
      <c r="I130" s="8" t="n">
        <v>0</v>
      </c>
      <c r="J130" s="9" t="n">
        <f aca="false">IF(E130=0,"",G130/E130*100)</f>
        <v>0</v>
      </c>
      <c r="K130" s="9" t="n">
        <f aca="false">IF(E130=0,"",I130/E130*1000)</f>
        <v>0</v>
      </c>
      <c r="L130" s="8" t="n">
        <v>0</v>
      </c>
    </row>
    <row r="131" customFormat="false" ht="15" hidden="false" customHeight="true" outlineLevel="0" collapsed="false">
      <c r="A131" s="10" t="s">
        <v>23</v>
      </c>
      <c r="B131" s="10" t="s">
        <v>248</v>
      </c>
      <c r="C131" s="8" t="n">
        <v>15</v>
      </c>
      <c r="D131" s="8" t="s">
        <v>250</v>
      </c>
      <c r="E131" s="8" t="n">
        <v>894</v>
      </c>
      <c r="F131" s="8" t="n">
        <v>77.3</v>
      </c>
      <c r="G131" s="8" t="n">
        <v>2</v>
      </c>
      <c r="H131" s="8" t="n">
        <v>0</v>
      </c>
      <c r="I131" s="8" t="n">
        <v>3</v>
      </c>
      <c r="J131" s="9" t="n">
        <f aca="false">IF(E131=0,"",G131/E131*100)</f>
        <v>0.223713646532438</v>
      </c>
      <c r="K131" s="9" t="n">
        <f aca="false">IF(E131=0,"",I131/E131*1000)</f>
        <v>3.35570469798658</v>
      </c>
      <c r="L131" s="8" t="n">
        <v>1</v>
      </c>
    </row>
    <row r="132" customFormat="false" ht="15" hidden="false" customHeight="true" outlineLevel="0" collapsed="false">
      <c r="A132" s="10" t="s">
        <v>23</v>
      </c>
      <c r="B132" s="10" t="s">
        <v>75</v>
      </c>
      <c r="C132" s="8" t="n">
        <v>14</v>
      </c>
      <c r="D132" s="8" t="s">
        <v>251</v>
      </c>
      <c r="E132" s="8" t="n">
        <v>937</v>
      </c>
      <c r="F132" s="8" t="n">
        <v>35.9</v>
      </c>
      <c r="G132" s="8" t="n">
        <v>4</v>
      </c>
      <c r="H132" s="8" t="n">
        <v>0</v>
      </c>
      <c r="I132" s="8" t="n">
        <v>1</v>
      </c>
      <c r="J132" s="9" t="n">
        <f aca="false">IF(E132=0,"",G132/E132*100)</f>
        <v>0.426894343649947</v>
      </c>
      <c r="K132" s="9" t="n">
        <f aca="false">IF(E132=0,"",I132/E132*1000)</f>
        <v>1.06723585912487</v>
      </c>
      <c r="L132" s="8" t="n">
        <v>1</v>
      </c>
    </row>
    <row r="133" customFormat="false" ht="15" hidden="false" customHeight="true" outlineLevel="0" collapsed="false">
      <c r="A133" s="10" t="s">
        <v>23</v>
      </c>
      <c r="B133" s="10" t="s">
        <v>75</v>
      </c>
      <c r="C133" s="8" t="n">
        <v>14</v>
      </c>
      <c r="D133" s="8" t="s">
        <v>252</v>
      </c>
      <c r="E133" s="8" t="n">
        <v>1044</v>
      </c>
      <c r="F133" s="8" t="n">
        <v>46.8</v>
      </c>
      <c r="G133" s="8" t="n">
        <v>6</v>
      </c>
      <c r="H133" s="8" t="n">
        <v>0</v>
      </c>
      <c r="I133" s="8" t="n">
        <v>0</v>
      </c>
      <c r="J133" s="9" t="n">
        <f aca="false">IF(E133=0,"",G133/E133*100)</f>
        <v>0.574712643678161</v>
      </c>
      <c r="K133" s="9" t="n">
        <f aca="false">IF(E133=0,"",I133/E133*1000)</f>
        <v>0</v>
      </c>
      <c r="L133" s="8" t="n">
        <v>1</v>
      </c>
    </row>
    <row r="134" customFormat="false" ht="15" hidden="false" customHeight="true" outlineLevel="0" collapsed="false">
      <c r="A134" s="10" t="s">
        <v>23</v>
      </c>
      <c r="B134" s="10" t="s">
        <v>75</v>
      </c>
      <c r="C134" s="8" t="n">
        <v>14</v>
      </c>
      <c r="D134" s="10" t="s">
        <v>253</v>
      </c>
      <c r="E134" s="8" t="n">
        <v>977</v>
      </c>
      <c r="F134" s="8" t="n">
        <v>46.4</v>
      </c>
      <c r="G134" s="8" t="n">
        <v>3</v>
      </c>
      <c r="H134" s="8" t="n">
        <v>0</v>
      </c>
      <c r="I134" s="8" t="n">
        <v>0</v>
      </c>
      <c r="J134" s="9" t="n">
        <f aca="false">IF(E134=0,"",G134/E134*100)</f>
        <v>0.307062436028659</v>
      </c>
      <c r="K134" s="9" t="n">
        <f aca="false">IF(E134=0,"",I134/E134*1000)</f>
        <v>0</v>
      </c>
      <c r="L134" s="8" t="n">
        <v>1</v>
      </c>
    </row>
    <row r="135" customFormat="false" ht="15" hidden="false" customHeight="true" outlineLevel="0" collapsed="false">
      <c r="A135" s="10" t="s">
        <v>23</v>
      </c>
      <c r="B135" s="10" t="s">
        <v>254</v>
      </c>
      <c r="C135" s="8" t="n">
        <v>13</v>
      </c>
      <c r="D135" s="8" t="s">
        <v>255</v>
      </c>
      <c r="E135" s="8" t="n">
        <v>800</v>
      </c>
      <c r="F135" s="8" t="n">
        <v>36.5</v>
      </c>
      <c r="G135" s="8" t="n">
        <v>1</v>
      </c>
      <c r="H135" s="8" t="n">
        <v>1</v>
      </c>
      <c r="I135" s="8" t="n">
        <v>0</v>
      </c>
      <c r="J135" s="9" t="n">
        <f aca="false">IF(E135=0,"",G135/E135*100)</f>
        <v>0.125</v>
      </c>
      <c r="K135" s="9" t="n">
        <f aca="false">IF(E135=0,"",I135/E135*1000)</f>
        <v>0</v>
      </c>
      <c r="L135" s="8" t="n">
        <v>1</v>
      </c>
    </row>
    <row r="136" customFormat="false" ht="15" hidden="false" customHeight="true" outlineLevel="0" collapsed="false">
      <c r="A136" s="10" t="s">
        <v>23</v>
      </c>
      <c r="B136" s="10" t="s">
        <v>254</v>
      </c>
      <c r="C136" s="8" t="n">
        <v>13</v>
      </c>
      <c r="D136" s="8" t="s">
        <v>256</v>
      </c>
      <c r="E136" s="8" t="n">
        <v>1033</v>
      </c>
      <c r="F136" s="8" t="n">
        <v>44.1</v>
      </c>
      <c r="G136" s="8" t="n">
        <v>5</v>
      </c>
      <c r="H136" s="8" t="n">
        <v>0</v>
      </c>
      <c r="I136" s="8" t="n">
        <v>0</v>
      </c>
      <c r="J136" s="9" t="n">
        <f aca="false">IF(E136=0,"",G136/E136*100)</f>
        <v>0.484027105517909</v>
      </c>
      <c r="K136" s="9" t="n">
        <f aca="false">IF(E136=0,"",I136/E136*1000)</f>
        <v>0</v>
      </c>
      <c r="L136" s="8" t="n">
        <v>1</v>
      </c>
    </row>
    <row r="137" customFormat="false" ht="15" hidden="false" customHeight="true" outlineLevel="0" collapsed="false">
      <c r="A137" s="10" t="s">
        <v>23</v>
      </c>
      <c r="B137" s="10" t="s">
        <v>254</v>
      </c>
      <c r="C137" s="8" t="n">
        <v>13</v>
      </c>
      <c r="D137" s="8" t="s">
        <v>257</v>
      </c>
      <c r="E137" s="8" t="n">
        <v>777</v>
      </c>
      <c r="F137" s="8" t="n">
        <v>53.4</v>
      </c>
      <c r="G137" s="8" t="n">
        <v>4</v>
      </c>
      <c r="H137" s="8" t="n">
        <v>0</v>
      </c>
      <c r="I137" s="8" t="n">
        <v>0</v>
      </c>
      <c r="J137" s="9" t="n">
        <f aca="false">IF(E137=0,"",G137/E137*100)</f>
        <v>0.514800514800515</v>
      </c>
      <c r="K137" s="9" t="n">
        <f aca="false">IF(E137=0,"",I137/E137*1000)</f>
        <v>0</v>
      </c>
      <c r="L137" s="8" t="n">
        <v>1</v>
      </c>
    </row>
    <row r="138" customFormat="false" ht="15" hidden="false" customHeight="true" outlineLevel="0" collapsed="false">
      <c r="A138" s="10" t="s">
        <v>23</v>
      </c>
      <c r="B138" s="10" t="s">
        <v>258</v>
      </c>
      <c r="C138" s="8" t="n">
        <v>12</v>
      </c>
      <c r="D138" s="8" t="s">
        <v>259</v>
      </c>
      <c r="E138" s="8" t="n">
        <v>857</v>
      </c>
      <c r="F138" s="8" t="n">
        <v>47.8</v>
      </c>
      <c r="G138" s="8" t="n">
        <v>4</v>
      </c>
      <c r="H138" s="8" t="n">
        <v>0</v>
      </c>
      <c r="I138" s="8" t="n">
        <v>0</v>
      </c>
      <c r="J138" s="9" t="n">
        <f aca="false">IF(E138=0,"",G138/E138*100)</f>
        <v>0.466744457409568</v>
      </c>
      <c r="K138" s="9" t="n">
        <f aca="false">IF(E138=0,"",I138/E138*1000)</f>
        <v>0</v>
      </c>
      <c r="L138" s="8" t="n">
        <v>1</v>
      </c>
    </row>
    <row r="139" customFormat="false" ht="15" hidden="false" customHeight="true" outlineLevel="0" collapsed="false">
      <c r="A139" s="10" t="s">
        <v>23</v>
      </c>
      <c r="B139" s="10" t="s">
        <v>260</v>
      </c>
      <c r="C139" s="8" t="n">
        <v>11</v>
      </c>
      <c r="D139" s="8" t="s">
        <v>261</v>
      </c>
      <c r="E139" s="8" t="n">
        <v>1065</v>
      </c>
      <c r="F139" s="8" t="n">
        <v>55.9</v>
      </c>
      <c r="G139" s="8" t="n">
        <v>4</v>
      </c>
      <c r="H139" s="8" t="n">
        <v>0</v>
      </c>
      <c r="I139" s="8" t="n">
        <v>1</v>
      </c>
      <c r="J139" s="9" t="n">
        <f aca="false">IF(E139=0,"",G139/E139*100)</f>
        <v>0.375586854460094</v>
      </c>
      <c r="K139" s="9" t="n">
        <f aca="false">IF(E139=0,"",I139/E139*1000)</f>
        <v>0.938967136150235</v>
      </c>
      <c r="L139" s="8" t="n">
        <v>1</v>
      </c>
    </row>
    <row r="140" customFormat="false" ht="15" hidden="false" customHeight="true" outlineLevel="0" collapsed="false">
      <c r="A140" s="10" t="s">
        <v>23</v>
      </c>
      <c r="B140" s="10" t="s">
        <v>77</v>
      </c>
      <c r="C140" s="8" t="n">
        <v>10</v>
      </c>
      <c r="D140" s="8" t="s">
        <v>262</v>
      </c>
      <c r="E140" s="8" t="n">
        <v>755</v>
      </c>
      <c r="F140" s="8" t="n">
        <v>42.9</v>
      </c>
      <c r="G140" s="8" t="n">
        <v>2</v>
      </c>
      <c r="H140" s="8" t="n">
        <v>0</v>
      </c>
      <c r="I140" s="8" t="n">
        <v>0</v>
      </c>
      <c r="J140" s="9" t="n">
        <f aca="false">IF(E140=0,"",G140/E140*100)</f>
        <v>0.264900662251656</v>
      </c>
      <c r="K140" s="9" t="n">
        <f aca="false">IF(E140=0,"",I140/E140*1000)</f>
        <v>0</v>
      </c>
      <c r="L140" s="8" t="n">
        <v>1</v>
      </c>
    </row>
    <row r="141" customFormat="false" ht="15" hidden="false" customHeight="true" outlineLevel="0" collapsed="false">
      <c r="A141" s="10" t="s">
        <v>23</v>
      </c>
      <c r="B141" s="10" t="s">
        <v>80</v>
      </c>
      <c r="C141" s="8" t="n">
        <v>9</v>
      </c>
      <c r="D141" s="8" t="s">
        <v>263</v>
      </c>
      <c r="E141" s="8" t="n">
        <v>1102</v>
      </c>
      <c r="F141" s="8" t="n">
        <v>35.2</v>
      </c>
      <c r="G141" s="8" t="n">
        <v>3</v>
      </c>
      <c r="H141" s="8" t="n">
        <v>0</v>
      </c>
      <c r="I141" s="8" t="n">
        <v>0</v>
      </c>
      <c r="J141" s="9" t="n">
        <f aca="false">IF(E141=0,"",G141/E141*100)</f>
        <v>0.272232304900181</v>
      </c>
      <c r="K141" s="9" t="n">
        <f aca="false">IF(E141=0,"",I141/E141*1000)</f>
        <v>0</v>
      </c>
      <c r="L141" s="8" t="n">
        <v>1</v>
      </c>
    </row>
    <row r="142" customFormat="false" ht="15" hidden="false" customHeight="true" outlineLevel="0" collapsed="false">
      <c r="A142" s="10" t="s">
        <v>23</v>
      </c>
      <c r="B142" s="10" t="s">
        <v>83</v>
      </c>
      <c r="C142" s="8" t="n">
        <v>8</v>
      </c>
      <c r="D142" s="8" t="s">
        <v>264</v>
      </c>
      <c r="E142" s="8" t="n">
        <v>216</v>
      </c>
      <c r="F142" s="8" t="n">
        <v>56</v>
      </c>
      <c r="G142" s="8" t="n">
        <v>0</v>
      </c>
      <c r="H142" s="8" t="n">
        <v>0</v>
      </c>
      <c r="I142" s="8" t="n">
        <v>0</v>
      </c>
      <c r="J142" s="9" t="n">
        <f aca="false">IF(E142=0,"",G142/E142*100)</f>
        <v>0</v>
      </c>
      <c r="K142" s="9" t="n">
        <f aca="false">IF(E142=0,"",I142/E142*1000)</f>
        <v>0</v>
      </c>
      <c r="L142" s="8" t="n">
        <v>0</v>
      </c>
    </row>
    <row r="143" customFormat="false" ht="15" hidden="false" customHeight="true" outlineLevel="0" collapsed="false">
      <c r="A143" s="10" t="s">
        <v>23</v>
      </c>
      <c r="B143" s="10" t="s">
        <v>88</v>
      </c>
      <c r="C143" s="8" t="n">
        <v>6</v>
      </c>
      <c r="D143" s="8" t="s">
        <v>265</v>
      </c>
      <c r="E143" s="8" t="n">
        <v>374</v>
      </c>
      <c r="F143" s="8" t="n">
        <v>53.7</v>
      </c>
      <c r="G143" s="8" t="n">
        <v>2</v>
      </c>
      <c r="H143" s="8" t="n">
        <v>0</v>
      </c>
      <c r="I143" s="8" t="n">
        <v>0</v>
      </c>
      <c r="J143" s="9" t="n">
        <f aca="false">IF(E143=0,"",G143/E143*100)</f>
        <v>0.53475935828877</v>
      </c>
      <c r="K143" s="9" t="n">
        <f aca="false">IF(E143=0,"",I143/E143*1000)</f>
        <v>0</v>
      </c>
      <c r="L143" s="8" t="n">
        <v>1</v>
      </c>
    </row>
    <row r="144" customFormat="false" ht="15" hidden="false" customHeight="true" outlineLevel="0" collapsed="false">
      <c r="A144" s="10" t="s">
        <v>23</v>
      </c>
      <c r="B144" s="10" t="s">
        <v>88</v>
      </c>
      <c r="C144" s="8" t="n">
        <v>6</v>
      </c>
      <c r="D144" s="8" t="s">
        <v>266</v>
      </c>
      <c r="E144" s="8" t="n">
        <v>629</v>
      </c>
      <c r="F144" s="8" t="n">
        <v>43.5</v>
      </c>
      <c r="G144" s="8" t="n">
        <v>1</v>
      </c>
      <c r="H144" s="8" t="n">
        <v>0</v>
      </c>
      <c r="I144" s="8" t="n">
        <v>0</v>
      </c>
      <c r="J144" s="9" t="n">
        <f aca="false">IF(E144=0,"",G144/E144*100)</f>
        <v>0.158982511923688</v>
      </c>
      <c r="K144" s="9" t="n">
        <f aca="false">IF(E144=0,"",I144/E144*1000)</f>
        <v>0</v>
      </c>
      <c r="L144" s="8" t="n">
        <v>1</v>
      </c>
    </row>
    <row r="145" customFormat="false" ht="15" hidden="false" customHeight="true" outlineLevel="0" collapsed="false">
      <c r="A145" s="10" t="s">
        <v>23</v>
      </c>
      <c r="B145" s="10" t="s">
        <v>94</v>
      </c>
      <c r="C145" s="8" t="n">
        <v>5</v>
      </c>
      <c r="D145" s="8" t="s">
        <v>267</v>
      </c>
      <c r="E145" s="8" t="n">
        <v>1070</v>
      </c>
      <c r="F145" s="8" t="n">
        <v>53.2</v>
      </c>
      <c r="G145" s="8" t="n">
        <v>2</v>
      </c>
      <c r="H145" s="8" t="n">
        <v>0</v>
      </c>
      <c r="I145" s="8" t="n">
        <v>1</v>
      </c>
      <c r="J145" s="9" t="n">
        <f aca="false">IF(E145=0,"",G145/E145*100)</f>
        <v>0.186915887850467</v>
      </c>
      <c r="K145" s="9" t="n">
        <f aca="false">IF(E145=0,"",I145/E145*1000)</f>
        <v>0.934579439252336</v>
      </c>
      <c r="L145" s="8" t="n">
        <v>0</v>
      </c>
    </row>
    <row r="146" customFormat="false" ht="15" hidden="false" customHeight="true" outlineLevel="0" collapsed="false">
      <c r="A146" s="10" t="s">
        <v>23</v>
      </c>
      <c r="B146" s="10" t="s">
        <v>97</v>
      </c>
      <c r="C146" s="8" t="n">
        <v>4</v>
      </c>
      <c r="D146" s="8" t="s">
        <v>268</v>
      </c>
      <c r="E146" s="8" t="n">
        <v>1038</v>
      </c>
      <c r="F146" s="8" t="n">
        <v>29.8</v>
      </c>
      <c r="G146" s="8" t="n">
        <v>2</v>
      </c>
      <c r="H146" s="8" t="n">
        <v>0</v>
      </c>
      <c r="I146" s="8" t="n">
        <v>0</v>
      </c>
      <c r="J146" s="9" t="n">
        <f aca="false">IF(E146=0,"",G146/E146*100)</f>
        <v>0.192678227360308</v>
      </c>
      <c r="K146" s="9" t="n">
        <f aca="false">IF(E146=0,"",I146/E146*1000)</f>
        <v>0</v>
      </c>
      <c r="L146" s="8" t="n">
        <v>0</v>
      </c>
    </row>
    <row r="147" customFormat="false" ht="15" hidden="false" customHeight="true" outlineLevel="0" collapsed="false">
      <c r="A147" s="10" t="s">
        <v>23</v>
      </c>
      <c r="B147" s="10" t="s">
        <v>100</v>
      </c>
      <c r="C147" s="8" t="n">
        <v>3</v>
      </c>
      <c r="D147" s="10" t="s">
        <v>269</v>
      </c>
      <c r="E147" s="8" t="n">
        <v>1003</v>
      </c>
      <c r="F147" s="8" t="n">
        <v>35.5</v>
      </c>
      <c r="G147" s="8" t="n">
        <v>7</v>
      </c>
      <c r="H147" s="8" t="n">
        <v>0</v>
      </c>
      <c r="I147" s="8" t="n">
        <v>1</v>
      </c>
      <c r="J147" s="9" t="n">
        <f aca="false">IF(E147=0,"",G147/E147*100)</f>
        <v>0.69790628115653</v>
      </c>
      <c r="K147" s="9" t="n">
        <f aca="false">IF(E147=0,"",I147/E147*1000)</f>
        <v>0.997008973080758</v>
      </c>
      <c r="L147" s="8" t="n">
        <v>0</v>
      </c>
    </row>
    <row r="148" customFormat="false" ht="15" hidden="false" customHeight="true" outlineLevel="0" collapsed="false">
      <c r="A148" s="10" t="s">
        <v>23</v>
      </c>
      <c r="B148" s="10" t="s">
        <v>103</v>
      </c>
      <c r="C148" s="8" t="n">
        <v>2</v>
      </c>
      <c r="D148" s="10" t="s">
        <v>270</v>
      </c>
      <c r="E148" s="8" t="n">
        <v>619</v>
      </c>
      <c r="F148" s="8" t="n">
        <v>30.3</v>
      </c>
      <c r="G148" s="8" t="n">
        <v>2</v>
      </c>
      <c r="H148" s="8" t="n">
        <v>0</v>
      </c>
      <c r="I148" s="8" t="n">
        <v>0</v>
      </c>
      <c r="J148" s="9" t="n">
        <f aca="false">IF(E148=0,"",G148/E148*100)</f>
        <v>0.323101777059774</v>
      </c>
      <c r="K148" s="9" t="n">
        <f aca="false">IF(E148=0,"",I148/E148*1000)</f>
        <v>0</v>
      </c>
      <c r="L148" s="8" t="n">
        <v>0</v>
      </c>
    </row>
    <row r="149" customFormat="false" ht="15" hidden="false" customHeight="true" outlineLevel="0" collapsed="false">
      <c r="A149" s="10" t="s">
        <v>24</v>
      </c>
      <c r="B149" s="10" t="s">
        <v>271</v>
      </c>
      <c r="C149" s="8" t="n">
        <v>24</v>
      </c>
      <c r="D149" s="10" t="s">
        <v>272</v>
      </c>
      <c r="E149" s="8" t="n">
        <v>201</v>
      </c>
      <c r="F149" s="8" t="n">
        <v>49.6</v>
      </c>
      <c r="G149" s="8" t="n">
        <v>0</v>
      </c>
      <c r="H149" s="8" t="n">
        <v>0</v>
      </c>
      <c r="I149" s="8" t="n">
        <v>0</v>
      </c>
      <c r="J149" s="9" t="n">
        <f aca="false">IF(E149=0,"",G149/E149*100)</f>
        <v>0</v>
      </c>
      <c r="K149" s="9" t="n">
        <f aca="false">IF(E149=0,"",I149/E149*1000)</f>
        <v>0</v>
      </c>
      <c r="L149" s="8" t="n">
        <v>0</v>
      </c>
    </row>
    <row r="150" customFormat="false" ht="15" hidden="false" customHeight="true" outlineLevel="0" collapsed="false">
      <c r="A150" s="10" t="s">
        <v>24</v>
      </c>
      <c r="B150" s="10" t="s">
        <v>271</v>
      </c>
      <c r="C150" s="8" t="n">
        <v>24</v>
      </c>
      <c r="D150" s="10" t="s">
        <v>272</v>
      </c>
      <c r="E150" s="8" t="n">
        <v>2388</v>
      </c>
      <c r="F150" s="8" t="n">
        <v>103</v>
      </c>
      <c r="G150" s="8" t="n">
        <v>7</v>
      </c>
      <c r="H150" s="8" t="n">
        <v>0</v>
      </c>
      <c r="I150" s="8" t="n">
        <v>1</v>
      </c>
      <c r="J150" s="9" t="n">
        <f aca="false">IF(E150=0,"",G150/E150*100)</f>
        <v>0.293132328308208</v>
      </c>
      <c r="K150" s="9" t="n">
        <f aca="false">IF(E150=0,"",I150/E150*1000)</f>
        <v>0.418760469011725</v>
      </c>
      <c r="L150" s="8" t="n">
        <v>1</v>
      </c>
    </row>
    <row r="151" customFormat="false" ht="15" hidden="false" customHeight="true" outlineLevel="0" collapsed="false">
      <c r="A151" s="10" t="s">
        <v>24</v>
      </c>
      <c r="B151" s="10" t="s">
        <v>225</v>
      </c>
      <c r="C151" s="8" t="n">
        <v>23</v>
      </c>
      <c r="D151" s="10" t="s">
        <v>273</v>
      </c>
      <c r="E151" s="8" t="n">
        <v>1565</v>
      </c>
      <c r="F151" s="8" t="n">
        <v>68.6</v>
      </c>
      <c r="G151" s="8" t="n">
        <v>10</v>
      </c>
      <c r="H151" s="8" t="n">
        <v>0</v>
      </c>
      <c r="I151" s="8" t="n">
        <v>3</v>
      </c>
      <c r="J151" s="9" t="n">
        <f aca="false">IF(E151=0,"",G151/E151*100)</f>
        <v>0.638977635782748</v>
      </c>
      <c r="K151" s="9" t="n">
        <f aca="false">IF(E151=0,"",I151/E151*1000)</f>
        <v>1.91693290734824</v>
      </c>
      <c r="L151" s="8" t="n">
        <v>1</v>
      </c>
    </row>
    <row r="152" customFormat="false" ht="15" hidden="false" customHeight="true" outlineLevel="0" collapsed="false">
      <c r="A152" s="10" t="s">
        <v>24</v>
      </c>
      <c r="B152" s="10" t="s">
        <v>225</v>
      </c>
      <c r="C152" s="8" t="n">
        <v>23</v>
      </c>
      <c r="D152" s="8" t="s">
        <v>274</v>
      </c>
      <c r="E152" s="8" t="n">
        <v>2061</v>
      </c>
      <c r="F152" s="8" t="n">
        <v>59.1</v>
      </c>
      <c r="G152" s="8" t="n">
        <v>5</v>
      </c>
      <c r="H152" s="8" t="n">
        <v>0</v>
      </c>
      <c r="I152" s="8" t="n">
        <v>0</v>
      </c>
      <c r="J152" s="9" t="n">
        <f aca="false">IF(E152=0,"",G152/E152*100)</f>
        <v>0.242600679281902</v>
      </c>
      <c r="K152" s="9" t="n">
        <f aca="false">IF(E152=0,"",I152/E152*1000)</f>
        <v>0</v>
      </c>
      <c r="L152" s="8" t="n">
        <v>1</v>
      </c>
    </row>
    <row r="153" customFormat="false" ht="15" hidden="false" customHeight="true" outlineLevel="0" collapsed="false">
      <c r="A153" s="10" t="s">
        <v>24</v>
      </c>
      <c r="B153" s="10" t="s">
        <v>227</v>
      </c>
      <c r="C153" s="8" t="n">
        <v>22</v>
      </c>
      <c r="D153" s="10" t="s">
        <v>275</v>
      </c>
      <c r="E153" s="8" t="n">
        <v>48</v>
      </c>
      <c r="F153" s="8" t="n">
        <v>69.7</v>
      </c>
      <c r="G153" s="8" t="n">
        <v>0</v>
      </c>
      <c r="H153" s="8" t="n">
        <v>0</v>
      </c>
      <c r="I153" s="8" t="n">
        <v>0</v>
      </c>
      <c r="J153" s="9" t="n">
        <f aca="false">IF(E153=0,"",G153/E153*100)</f>
        <v>0</v>
      </c>
      <c r="K153" s="9" t="n">
        <f aca="false">IF(E153=0,"",I153/E153*1000)</f>
        <v>0</v>
      </c>
      <c r="L153" s="8" t="n">
        <v>0</v>
      </c>
    </row>
    <row r="154" customFormat="false" ht="15" hidden="false" customHeight="true" outlineLevel="0" collapsed="false">
      <c r="A154" s="10" t="s">
        <v>24</v>
      </c>
      <c r="B154" s="10" t="s">
        <v>227</v>
      </c>
      <c r="C154" s="8" t="n">
        <v>22</v>
      </c>
      <c r="D154" s="8" t="s">
        <v>276</v>
      </c>
      <c r="E154" s="8" t="n">
        <v>1790</v>
      </c>
      <c r="F154" s="8" t="n">
        <v>80.2</v>
      </c>
      <c r="G154" s="8" t="n">
        <v>4</v>
      </c>
      <c r="H154" s="8" t="n">
        <v>0</v>
      </c>
      <c r="I154" s="8" t="n">
        <v>2</v>
      </c>
      <c r="J154" s="9" t="n">
        <f aca="false">IF(E154=0,"",G154/E154*100)</f>
        <v>0.223463687150838</v>
      </c>
      <c r="K154" s="9" t="n">
        <f aca="false">IF(E154=0,"",I154/E154*1000)</f>
        <v>1.11731843575419</v>
      </c>
      <c r="L154" s="8" t="n">
        <v>1</v>
      </c>
    </row>
    <row r="155" customFormat="false" ht="15" hidden="false" customHeight="true" outlineLevel="0" collapsed="false">
      <c r="A155" s="10" t="s">
        <v>24</v>
      </c>
      <c r="B155" s="10" t="s">
        <v>227</v>
      </c>
      <c r="C155" s="8" t="n">
        <v>22</v>
      </c>
      <c r="D155" s="8" t="s">
        <v>277</v>
      </c>
      <c r="E155" s="8" t="n">
        <v>1940</v>
      </c>
      <c r="F155" s="8" t="n">
        <v>90.1</v>
      </c>
      <c r="G155" s="8" t="n">
        <v>10</v>
      </c>
      <c r="H155" s="8" t="n">
        <v>0</v>
      </c>
      <c r="I155" s="8" t="n">
        <v>0</v>
      </c>
      <c r="J155" s="9" t="n">
        <f aca="false">IF(E155=0,"",G155/E155*100)</f>
        <v>0.515463917525773</v>
      </c>
      <c r="K155" s="9" t="n">
        <f aca="false">IF(E155=0,"",I155/E155*1000)</f>
        <v>0</v>
      </c>
      <c r="L155" s="8" t="n">
        <v>1</v>
      </c>
    </row>
    <row r="156" customFormat="false" ht="15" hidden="false" customHeight="true" outlineLevel="0" collapsed="false">
      <c r="A156" s="10" t="s">
        <v>24</v>
      </c>
      <c r="B156" s="10" t="s">
        <v>231</v>
      </c>
      <c r="C156" s="8" t="n">
        <v>21</v>
      </c>
      <c r="D156" s="8" t="s">
        <v>278</v>
      </c>
      <c r="E156" s="8" t="n">
        <v>1475</v>
      </c>
      <c r="F156" s="8" t="n">
        <v>0</v>
      </c>
      <c r="G156" s="8" t="n">
        <v>3</v>
      </c>
      <c r="H156" s="8" t="n">
        <v>0</v>
      </c>
      <c r="I156" s="8" t="n">
        <v>0</v>
      </c>
      <c r="J156" s="9" t="n">
        <f aca="false">IF(E156=0,"",G156/E156*100)</f>
        <v>0.203389830508475</v>
      </c>
      <c r="K156" s="9" t="n">
        <f aca="false">IF(E156=0,"",I156/E156*1000)</f>
        <v>0</v>
      </c>
      <c r="L156" s="8" t="n">
        <v>1</v>
      </c>
    </row>
    <row r="157" customFormat="false" ht="15" hidden="false" customHeight="true" outlineLevel="0" collapsed="false">
      <c r="A157" s="10" t="s">
        <v>24</v>
      </c>
      <c r="B157" s="10" t="s">
        <v>231</v>
      </c>
      <c r="C157" s="8" t="n">
        <v>21</v>
      </c>
      <c r="D157" s="8" t="s">
        <v>279</v>
      </c>
      <c r="E157" s="8" t="n">
        <v>1333</v>
      </c>
      <c r="F157" s="8" t="n">
        <v>123.3</v>
      </c>
      <c r="G157" s="8" t="n">
        <v>4</v>
      </c>
      <c r="H157" s="8" t="n">
        <v>0</v>
      </c>
      <c r="I157" s="8" t="n">
        <v>0</v>
      </c>
      <c r="J157" s="9" t="n">
        <f aca="false">IF(E157=0,"",G157/E157*100)</f>
        <v>0.300075018754689</v>
      </c>
      <c r="K157" s="9" t="n">
        <f aca="false">IF(E157=0,"",I157/E157*1000)</f>
        <v>0</v>
      </c>
      <c r="L157" s="8" t="n">
        <v>1</v>
      </c>
    </row>
    <row r="158" customFormat="false" ht="15" hidden="false" customHeight="true" outlineLevel="0" collapsed="false">
      <c r="A158" s="10" t="s">
        <v>24</v>
      </c>
      <c r="B158" s="10" t="s">
        <v>234</v>
      </c>
      <c r="C158" s="8" t="n">
        <v>20</v>
      </c>
      <c r="D158" s="8" t="s">
        <v>280</v>
      </c>
      <c r="E158" s="8" t="n">
        <v>1610</v>
      </c>
      <c r="F158" s="8" t="n">
        <v>52.6</v>
      </c>
      <c r="G158" s="8" t="n">
        <v>11</v>
      </c>
      <c r="H158" s="8" t="n">
        <v>0</v>
      </c>
      <c r="I158" s="8" t="n">
        <v>0</v>
      </c>
      <c r="J158" s="9" t="n">
        <f aca="false">IF(E158=0,"",G158/E158*100)</f>
        <v>0.683229813664596</v>
      </c>
      <c r="K158" s="9" t="n">
        <f aca="false">IF(E158=0,"",I158/E158*1000)</f>
        <v>0</v>
      </c>
      <c r="L158" s="8" t="n">
        <v>1</v>
      </c>
    </row>
    <row r="159" customFormat="false" ht="15" hidden="false" customHeight="true" outlineLevel="0" collapsed="false">
      <c r="A159" s="10" t="s">
        <v>24</v>
      </c>
      <c r="B159" s="10" t="s">
        <v>236</v>
      </c>
      <c r="C159" s="8" t="n">
        <v>19</v>
      </c>
      <c r="D159" s="8" t="s">
        <v>281</v>
      </c>
      <c r="E159" s="8" t="n">
        <v>1696</v>
      </c>
      <c r="F159" s="8" t="n">
        <v>63.5</v>
      </c>
      <c r="G159" s="8" t="n">
        <v>8</v>
      </c>
      <c r="H159" s="8" t="n">
        <v>1</v>
      </c>
      <c r="I159" s="8" t="n">
        <v>0</v>
      </c>
      <c r="J159" s="9" t="n">
        <f aca="false">IF(E159=0,"",G159/E159*100)</f>
        <v>0.471698113207547</v>
      </c>
      <c r="K159" s="9" t="n">
        <f aca="false">IF(E159=0,"",I159/E159*1000)</f>
        <v>0</v>
      </c>
      <c r="L159" s="8" t="n">
        <v>1</v>
      </c>
    </row>
    <row r="160" customFormat="false" ht="15" hidden="false" customHeight="true" outlineLevel="0" collapsed="false">
      <c r="A160" s="10" t="s">
        <v>24</v>
      </c>
      <c r="B160" s="10" t="s">
        <v>240</v>
      </c>
      <c r="C160" s="8" t="n">
        <v>18</v>
      </c>
      <c r="D160" s="8" t="s">
        <v>282</v>
      </c>
      <c r="E160" s="8" t="n">
        <v>1662</v>
      </c>
      <c r="F160" s="8" t="n">
        <v>47.8</v>
      </c>
      <c r="G160" s="8" t="n">
        <v>4</v>
      </c>
      <c r="H160" s="8" t="n">
        <v>0</v>
      </c>
      <c r="I160" s="8" t="n">
        <v>2</v>
      </c>
      <c r="J160" s="9" t="n">
        <f aca="false">IF(E160=0,"",G160/E160*100)</f>
        <v>0.240673886883273</v>
      </c>
      <c r="K160" s="9" t="n">
        <f aca="false">IF(E160=0,"",I160/E160*1000)</f>
        <v>1.20336943441637</v>
      </c>
      <c r="L160" s="8" t="n">
        <v>1</v>
      </c>
    </row>
    <row r="161" customFormat="false" ht="15" hidden="false" customHeight="true" outlineLevel="0" collapsed="false">
      <c r="A161" s="10" t="s">
        <v>24</v>
      </c>
      <c r="B161" s="10" t="s">
        <v>248</v>
      </c>
      <c r="C161" s="8" t="n">
        <v>15</v>
      </c>
      <c r="D161" s="8" t="s">
        <v>283</v>
      </c>
      <c r="E161" s="8" t="n">
        <v>1130</v>
      </c>
      <c r="F161" s="8" t="n">
        <v>68</v>
      </c>
      <c r="G161" s="8" t="n">
        <v>7</v>
      </c>
      <c r="H161" s="8" t="n">
        <v>0</v>
      </c>
      <c r="I161" s="8" t="n">
        <v>0</v>
      </c>
      <c r="J161" s="9" t="n">
        <f aca="false">IF(E161=0,"",G161/E161*100)</f>
        <v>0.619469026548673</v>
      </c>
      <c r="K161" s="9" t="n">
        <f aca="false">IF(E161=0,"",I161/E161*1000)</f>
        <v>0</v>
      </c>
      <c r="L161" s="8" t="n">
        <v>1</v>
      </c>
    </row>
    <row r="162" customFormat="false" ht="15" hidden="false" customHeight="true" outlineLevel="0" collapsed="false">
      <c r="A162" s="10" t="s">
        <v>24</v>
      </c>
      <c r="B162" s="10" t="s">
        <v>75</v>
      </c>
      <c r="C162" s="8" t="n">
        <v>14</v>
      </c>
      <c r="D162" s="10" t="s">
        <v>284</v>
      </c>
      <c r="E162" s="8" t="n">
        <v>1088</v>
      </c>
      <c r="F162" s="8" t="n">
        <v>63.7</v>
      </c>
      <c r="G162" s="8" t="n">
        <v>4</v>
      </c>
      <c r="H162" s="8" t="n">
        <v>0</v>
      </c>
      <c r="I162" s="8" t="n">
        <v>1</v>
      </c>
      <c r="J162" s="9" t="n">
        <f aca="false">IF(E162=0,"",G162/E162*100)</f>
        <v>0.367647058823529</v>
      </c>
      <c r="K162" s="9" t="n">
        <f aca="false">IF(E162=0,"",I162/E162*1000)</f>
        <v>0.919117647058824</v>
      </c>
      <c r="L162" s="8" t="n">
        <v>1</v>
      </c>
    </row>
    <row r="163" customFormat="false" ht="15" hidden="false" customHeight="true" outlineLevel="0" collapsed="false">
      <c r="A163" s="10" t="s">
        <v>24</v>
      </c>
      <c r="B163" s="10" t="s">
        <v>75</v>
      </c>
      <c r="C163" s="8" t="n">
        <v>14</v>
      </c>
      <c r="D163" s="8" t="s">
        <v>285</v>
      </c>
      <c r="E163" s="8" t="n">
        <v>1446</v>
      </c>
      <c r="F163" s="8" t="n">
        <v>53.7</v>
      </c>
      <c r="G163" s="8" t="n">
        <v>7</v>
      </c>
      <c r="H163" s="8" t="n">
        <v>0</v>
      </c>
      <c r="I163" s="8" t="n">
        <v>1</v>
      </c>
      <c r="J163" s="9" t="n">
        <f aca="false">IF(E163=0,"",G163/E163*100)</f>
        <v>0.484094052558783</v>
      </c>
      <c r="K163" s="9" t="n">
        <f aca="false">IF(E163=0,"",I163/E163*1000)</f>
        <v>0.691562932226833</v>
      </c>
      <c r="L163" s="8" t="n">
        <v>1</v>
      </c>
    </row>
    <row r="164" customFormat="false" ht="15" hidden="false" customHeight="true" outlineLevel="0" collapsed="false">
      <c r="A164" s="10" t="s">
        <v>24</v>
      </c>
      <c r="B164" s="10" t="s">
        <v>254</v>
      </c>
      <c r="C164" s="8" t="n">
        <v>13</v>
      </c>
      <c r="D164" s="8" t="s">
        <v>286</v>
      </c>
      <c r="E164" s="8" t="n">
        <v>1287</v>
      </c>
      <c r="F164" s="8" t="n">
        <v>53.1</v>
      </c>
      <c r="G164" s="8" t="n">
        <v>4</v>
      </c>
      <c r="H164" s="8" t="n">
        <v>0</v>
      </c>
      <c r="I164" s="8" t="n">
        <v>0</v>
      </c>
      <c r="J164" s="9" t="n">
        <f aca="false">IF(E164=0,"",G164/E164*100)</f>
        <v>0.310800310800311</v>
      </c>
      <c r="K164" s="9" t="n">
        <f aca="false">IF(E164=0,"",I164/E164*1000)</f>
        <v>0</v>
      </c>
      <c r="L164" s="8" t="n">
        <v>1</v>
      </c>
    </row>
    <row r="165" customFormat="false" ht="15" hidden="false" customHeight="true" outlineLevel="0" collapsed="false">
      <c r="A165" s="10" t="s">
        <v>24</v>
      </c>
      <c r="B165" s="10" t="s">
        <v>258</v>
      </c>
      <c r="C165" s="8" t="n">
        <v>12</v>
      </c>
      <c r="D165" s="8" t="s">
        <v>287</v>
      </c>
      <c r="E165" s="8" t="n">
        <v>1677</v>
      </c>
      <c r="F165" s="8" t="n">
        <v>57.1</v>
      </c>
      <c r="G165" s="8" t="n">
        <v>0</v>
      </c>
      <c r="H165" s="8" t="n">
        <v>0</v>
      </c>
      <c r="I165" s="8" t="n">
        <v>0</v>
      </c>
      <c r="J165" s="9" t="n">
        <f aca="false">IF(E165=0,"",G165/E165*100)</f>
        <v>0</v>
      </c>
      <c r="K165" s="9" t="n">
        <f aca="false">IF(E165=0,"",I165/E165*1000)</f>
        <v>0</v>
      </c>
      <c r="L165" s="8" t="n">
        <v>1</v>
      </c>
    </row>
    <row r="166" customFormat="false" ht="15" hidden="false" customHeight="true" outlineLevel="0" collapsed="false">
      <c r="A166" s="10" t="s">
        <v>24</v>
      </c>
      <c r="B166" s="10" t="s">
        <v>260</v>
      </c>
      <c r="C166" s="8" t="n">
        <v>11</v>
      </c>
      <c r="D166" s="8" t="s">
        <v>288</v>
      </c>
      <c r="E166" s="8" t="n">
        <v>1789</v>
      </c>
      <c r="F166" s="8" t="n">
        <v>55.1</v>
      </c>
      <c r="G166" s="8" t="n">
        <v>7</v>
      </c>
      <c r="H166" s="8" t="n">
        <v>0</v>
      </c>
      <c r="I166" s="8" t="n">
        <v>0</v>
      </c>
      <c r="J166" s="9" t="n">
        <f aca="false">IF(E166=0,"",G166/E166*100)</f>
        <v>0.391280044717719</v>
      </c>
      <c r="K166" s="9" t="n">
        <f aca="false">IF(E166=0,"",I166/E166*1000)</f>
        <v>0</v>
      </c>
      <c r="L166" s="8" t="n">
        <v>1</v>
      </c>
    </row>
    <row r="167" customFormat="false" ht="15" hidden="false" customHeight="true" outlineLevel="0" collapsed="false">
      <c r="A167" s="10" t="s">
        <v>24</v>
      </c>
      <c r="B167" s="10" t="s">
        <v>77</v>
      </c>
      <c r="C167" s="8" t="n">
        <v>10</v>
      </c>
      <c r="D167" s="8" t="s">
        <v>289</v>
      </c>
      <c r="E167" s="8" t="n">
        <v>1337</v>
      </c>
      <c r="F167" s="8" t="n">
        <v>48.9</v>
      </c>
      <c r="G167" s="8" t="n">
        <v>4</v>
      </c>
      <c r="H167" s="8" t="n">
        <v>1</v>
      </c>
      <c r="I167" s="8" t="n">
        <v>1</v>
      </c>
      <c r="J167" s="9" t="n">
        <f aca="false">IF(E167=0,"",G167/E167*100)</f>
        <v>0.299177262528048</v>
      </c>
      <c r="K167" s="9" t="n">
        <f aca="false">IF(E167=0,"",I167/E167*1000)</f>
        <v>0.74794315632012</v>
      </c>
      <c r="L167" s="8" t="n">
        <v>1</v>
      </c>
    </row>
    <row r="168" customFormat="false" ht="15" hidden="false" customHeight="true" outlineLevel="0" collapsed="false">
      <c r="A168" s="10" t="s">
        <v>24</v>
      </c>
      <c r="B168" s="10" t="s">
        <v>80</v>
      </c>
      <c r="C168" s="8" t="n">
        <v>9</v>
      </c>
      <c r="D168" s="8" t="s">
        <v>290</v>
      </c>
      <c r="E168" s="8" t="n">
        <v>1566</v>
      </c>
      <c r="F168" s="8" t="n">
        <v>54.5</v>
      </c>
      <c r="G168" s="8" t="n">
        <v>3</v>
      </c>
      <c r="H168" s="8" t="n">
        <v>0</v>
      </c>
      <c r="I168" s="8" t="n">
        <v>1</v>
      </c>
      <c r="J168" s="9" t="n">
        <f aca="false">IF(E168=0,"",G168/E168*100)</f>
        <v>0.191570881226054</v>
      </c>
      <c r="K168" s="9" t="n">
        <f aca="false">IF(E168=0,"",I168/E168*1000)</f>
        <v>0.638569604086846</v>
      </c>
      <c r="L168" s="8" t="n">
        <v>1</v>
      </c>
    </row>
    <row r="169" customFormat="false" ht="15" hidden="false" customHeight="true" outlineLevel="0" collapsed="false">
      <c r="A169" s="10" t="s">
        <v>24</v>
      </c>
      <c r="B169" s="10" t="s">
        <v>83</v>
      </c>
      <c r="C169" s="8" t="n">
        <v>8</v>
      </c>
      <c r="D169" s="8" t="s">
        <v>291</v>
      </c>
      <c r="E169" s="8" t="n">
        <v>1557</v>
      </c>
      <c r="F169" s="8" t="n">
        <v>65.3</v>
      </c>
      <c r="G169" s="8" t="n">
        <v>2</v>
      </c>
      <c r="H169" s="8" t="n">
        <v>1</v>
      </c>
      <c r="I169" s="8" t="n">
        <v>0</v>
      </c>
      <c r="J169" s="9" t="n">
        <f aca="false">IF(E169=0,"",G169/E169*100)</f>
        <v>0.128452151573539</v>
      </c>
      <c r="K169" s="9" t="n">
        <f aca="false">IF(E169=0,"",I169/E169*1000)</f>
        <v>0</v>
      </c>
      <c r="L169" s="8" t="n">
        <v>1</v>
      </c>
    </row>
    <row r="170" customFormat="false" ht="15" hidden="false" customHeight="true" outlineLevel="0" collapsed="false">
      <c r="A170" s="10" t="s">
        <v>24</v>
      </c>
      <c r="B170" s="10" t="s">
        <v>88</v>
      </c>
      <c r="C170" s="8" t="n">
        <v>6</v>
      </c>
      <c r="D170" s="8" t="s">
        <v>292</v>
      </c>
      <c r="E170" s="8" t="n">
        <v>1971</v>
      </c>
      <c r="F170" s="8" t="n">
        <v>69.5</v>
      </c>
      <c r="G170" s="8" t="n">
        <v>5</v>
      </c>
      <c r="H170" s="8" t="n">
        <v>0</v>
      </c>
      <c r="I170" s="8" t="n">
        <v>0</v>
      </c>
      <c r="J170" s="9" t="n">
        <f aca="false">IF(E170=0,"",G170/E170*100)</f>
        <v>0.253678335870117</v>
      </c>
      <c r="K170" s="9" t="n">
        <f aca="false">IF(E170=0,"",I170/E170*1000)</f>
        <v>0</v>
      </c>
      <c r="L170" s="8" t="n">
        <v>1</v>
      </c>
    </row>
    <row r="171" customFormat="false" ht="15" hidden="false" customHeight="true" outlineLevel="0" collapsed="false">
      <c r="A171" s="10" t="s">
        <v>24</v>
      </c>
      <c r="B171" s="10" t="s">
        <v>94</v>
      </c>
      <c r="C171" s="8" t="n">
        <v>5</v>
      </c>
      <c r="D171" s="8" t="s">
        <v>293</v>
      </c>
      <c r="E171" s="8" t="n">
        <v>1630</v>
      </c>
      <c r="F171" s="8" t="n">
        <v>70.9</v>
      </c>
      <c r="G171" s="8" t="n">
        <v>5</v>
      </c>
      <c r="H171" s="8" t="n">
        <v>0</v>
      </c>
      <c r="I171" s="8" t="n">
        <v>0</v>
      </c>
      <c r="J171" s="9" t="n">
        <f aca="false">IF(E171=0,"",G171/E171*100)</f>
        <v>0.306748466257669</v>
      </c>
      <c r="K171" s="9" t="n">
        <f aca="false">IF(E171=0,"",I171/E171*1000)</f>
        <v>0</v>
      </c>
      <c r="L171" s="8" t="n">
        <v>0</v>
      </c>
    </row>
    <row r="172" customFormat="false" ht="15" hidden="false" customHeight="true" outlineLevel="0" collapsed="false">
      <c r="A172" s="10" t="s">
        <v>24</v>
      </c>
      <c r="B172" s="10" t="s">
        <v>97</v>
      </c>
      <c r="C172" s="8" t="n">
        <v>4</v>
      </c>
      <c r="D172" s="8" t="s">
        <v>294</v>
      </c>
      <c r="E172" s="8" t="n">
        <v>1308</v>
      </c>
      <c r="F172" s="8" t="n">
        <v>39.1</v>
      </c>
      <c r="G172" s="8" t="n">
        <v>1</v>
      </c>
      <c r="H172" s="8" t="n">
        <v>2</v>
      </c>
      <c r="I172" s="8" t="n">
        <v>0</v>
      </c>
      <c r="J172" s="9" t="n">
        <f aca="false">IF(E172=0,"",G172/E172*100)</f>
        <v>0.0764525993883792</v>
      </c>
      <c r="K172" s="9" t="n">
        <f aca="false">IF(E172=0,"",I172/E172*1000)</f>
        <v>0</v>
      </c>
      <c r="L172" s="8" t="n">
        <v>0</v>
      </c>
    </row>
    <row r="173" customFormat="false" ht="15" hidden="false" customHeight="true" outlineLevel="0" collapsed="false">
      <c r="A173" s="10" t="s">
        <v>24</v>
      </c>
      <c r="B173" s="10" t="s">
        <v>100</v>
      </c>
      <c r="C173" s="8" t="n">
        <v>3</v>
      </c>
      <c r="D173" s="10" t="s">
        <v>295</v>
      </c>
      <c r="E173" s="8" t="n">
        <v>1075</v>
      </c>
      <c r="F173" s="8" t="n">
        <v>27.5</v>
      </c>
      <c r="G173" s="8" t="n">
        <v>1</v>
      </c>
      <c r="H173" s="8" t="n">
        <v>1</v>
      </c>
      <c r="I173" s="8" t="n">
        <v>0</v>
      </c>
      <c r="J173" s="9" t="n">
        <f aca="false">IF(E173=0,"",G173/E173*100)</f>
        <v>0.0930232558139535</v>
      </c>
      <c r="K173" s="9" t="n">
        <f aca="false">IF(E173=0,"",I173/E173*1000)</f>
        <v>0</v>
      </c>
      <c r="L173" s="8" t="n">
        <v>0</v>
      </c>
    </row>
    <row r="174" customFormat="false" ht="15" hidden="false" customHeight="true" outlineLevel="0" collapsed="false">
      <c r="A174" s="10" t="s">
        <v>22</v>
      </c>
      <c r="B174" s="10" t="s">
        <v>105</v>
      </c>
      <c r="C174" s="8" t="n">
        <v>16</v>
      </c>
      <c r="D174" s="8" t="s">
        <v>296</v>
      </c>
      <c r="E174" s="8" t="n">
        <v>1226</v>
      </c>
      <c r="F174" s="8" t="n">
        <v>52.1</v>
      </c>
      <c r="G174" s="8" t="n">
        <v>8</v>
      </c>
      <c r="H174" s="8" t="n">
        <v>0</v>
      </c>
      <c r="I174" s="8" t="n">
        <v>0</v>
      </c>
      <c r="J174" s="9" t="n">
        <f aca="false">IF(E174=0,"",G174/E174*100)</f>
        <v>0.65252854812398</v>
      </c>
      <c r="K174" s="9" t="n">
        <f aca="false">IF(E174=0,"",I174/E174*1000)</f>
        <v>0</v>
      </c>
      <c r="L174" s="8" t="n">
        <v>1</v>
      </c>
    </row>
    <row r="175" customFormat="false" ht="15" hidden="false" customHeight="true" outlineLevel="0" collapsed="false">
      <c r="A175" s="10" t="s">
        <v>22</v>
      </c>
      <c r="B175" s="10" t="s">
        <v>105</v>
      </c>
      <c r="C175" s="8" t="n">
        <v>16</v>
      </c>
      <c r="D175" s="10" t="s">
        <v>297</v>
      </c>
      <c r="E175" s="8" t="n">
        <v>1113</v>
      </c>
      <c r="F175" s="8" t="n">
        <v>43.3</v>
      </c>
      <c r="G175" s="8" t="n">
        <v>1</v>
      </c>
      <c r="H175" s="8" t="n">
        <v>0</v>
      </c>
      <c r="I175" s="8" t="n">
        <v>0</v>
      </c>
      <c r="J175" s="9" t="n">
        <f aca="false">IF(E175=0,"",G175/E175*100)</f>
        <v>0.0898472596585804</v>
      </c>
      <c r="K175" s="9" t="n">
        <f aca="false">IF(E175=0,"",I175/E175*1000)</f>
        <v>0</v>
      </c>
      <c r="L175" s="8" t="n">
        <v>1</v>
      </c>
    </row>
    <row r="176" customFormat="false" ht="15" hidden="false" customHeight="true" outlineLevel="0" collapsed="false">
      <c r="A176" s="10" t="s">
        <v>22</v>
      </c>
      <c r="B176" s="10" t="s">
        <v>108</v>
      </c>
      <c r="C176" s="8" t="n">
        <v>15</v>
      </c>
      <c r="D176" s="8" t="s">
        <v>298</v>
      </c>
      <c r="E176" s="8" t="n">
        <v>428</v>
      </c>
      <c r="F176" s="8" t="n">
        <v>59.2</v>
      </c>
      <c r="G176" s="8" t="n">
        <v>2</v>
      </c>
      <c r="H176" s="8" t="n">
        <v>0</v>
      </c>
      <c r="I176" s="8" t="n">
        <v>0</v>
      </c>
      <c r="J176" s="9" t="n">
        <f aca="false">IF(E176=0,"",G176/E176*100)</f>
        <v>0.467289719626168</v>
      </c>
      <c r="K176" s="9" t="n">
        <f aca="false">IF(E176=0,"",I176/E176*1000)</f>
        <v>0</v>
      </c>
      <c r="L176" s="8" t="n">
        <v>1</v>
      </c>
    </row>
    <row r="177" customFormat="false" ht="15" hidden="false" customHeight="true" outlineLevel="0" collapsed="false">
      <c r="A177" s="10" t="s">
        <v>22</v>
      </c>
      <c r="B177" s="10" t="s">
        <v>108</v>
      </c>
      <c r="C177" s="8" t="n">
        <v>15</v>
      </c>
      <c r="D177" s="8" t="s">
        <v>299</v>
      </c>
      <c r="E177" s="8" t="n">
        <v>278</v>
      </c>
      <c r="F177" s="8" t="n">
        <v>44.9</v>
      </c>
      <c r="G177" s="8" t="n">
        <v>0</v>
      </c>
      <c r="H177" s="8" t="n">
        <v>0</v>
      </c>
      <c r="I177" s="8" t="n">
        <v>0</v>
      </c>
      <c r="J177" s="9" t="n">
        <f aca="false">IF(E177=0,"",G177/E177*100)</f>
        <v>0</v>
      </c>
      <c r="K177" s="9" t="n">
        <f aca="false">IF(E177=0,"",I177/E177*1000)</f>
        <v>0</v>
      </c>
      <c r="L177" s="8" t="n">
        <v>0</v>
      </c>
    </row>
    <row r="178" customFormat="false" ht="15" hidden="false" customHeight="true" outlineLevel="0" collapsed="false">
      <c r="A178" s="10" t="s">
        <v>22</v>
      </c>
      <c r="B178" s="10" t="s">
        <v>112</v>
      </c>
      <c r="C178" s="8" t="n">
        <v>17</v>
      </c>
      <c r="D178" s="10" t="s">
        <v>300</v>
      </c>
      <c r="E178" s="8" t="n">
        <v>25</v>
      </c>
      <c r="F178" s="8" t="n">
        <v>44.7</v>
      </c>
      <c r="G178" s="8" t="n">
        <v>1</v>
      </c>
      <c r="H178" s="8" t="n">
        <v>0</v>
      </c>
      <c r="I178" s="8" t="n">
        <v>0</v>
      </c>
      <c r="J178" s="9" t="n">
        <f aca="false">IF(E178=0,"",G178/E178*100)</f>
        <v>4</v>
      </c>
      <c r="K178" s="9" t="n">
        <f aca="false">IF(E178=0,"",I178/E178*1000)</f>
        <v>0</v>
      </c>
      <c r="L178" s="8" t="n">
        <v>0</v>
      </c>
    </row>
    <row r="179" customFormat="false" ht="15" hidden="false" customHeight="true" outlineLevel="0" collapsed="false">
      <c r="A179" s="10" t="s">
        <v>22</v>
      </c>
      <c r="B179" s="10" t="s">
        <v>112</v>
      </c>
      <c r="C179" s="8" t="n">
        <v>14</v>
      </c>
      <c r="D179" s="8" t="s">
        <v>301</v>
      </c>
      <c r="E179" s="8" t="n">
        <v>325</v>
      </c>
      <c r="F179" s="8" t="n">
        <v>67.9</v>
      </c>
      <c r="G179" s="8" t="n">
        <v>1</v>
      </c>
      <c r="H179" s="8" t="n">
        <v>0</v>
      </c>
      <c r="I179" s="8" t="n">
        <v>0</v>
      </c>
      <c r="J179" s="9" t="n">
        <f aca="false">IF(E179=0,"",G179/E179*100)</f>
        <v>0.307692307692308</v>
      </c>
      <c r="K179" s="9" t="n">
        <f aca="false">IF(E179=0,"",I179/E179*1000)</f>
        <v>0</v>
      </c>
      <c r="L179" s="8" t="n">
        <v>1</v>
      </c>
    </row>
    <row r="180" customFormat="false" ht="15" hidden="false" customHeight="true" outlineLevel="0" collapsed="false">
      <c r="A180" s="10" t="s">
        <v>22</v>
      </c>
      <c r="B180" s="10" t="s">
        <v>112</v>
      </c>
      <c r="C180" s="8" t="n">
        <v>14</v>
      </c>
      <c r="D180" s="8" t="s">
        <v>302</v>
      </c>
      <c r="E180" s="8" t="n">
        <v>833</v>
      </c>
      <c r="F180" s="8" t="n">
        <v>58.6</v>
      </c>
      <c r="G180" s="8" t="n">
        <v>6</v>
      </c>
      <c r="H180" s="8" t="n">
        <v>0</v>
      </c>
      <c r="I180" s="8" t="n">
        <v>1</v>
      </c>
      <c r="J180" s="9" t="n">
        <f aca="false">IF(E180=0,"",G180/E180*100)</f>
        <v>0.720288115246099</v>
      </c>
      <c r="K180" s="9" t="n">
        <f aca="false">IF(E180=0,"",I180/E180*1000)</f>
        <v>1.20048019207683</v>
      </c>
      <c r="L180" s="8" t="n">
        <v>1</v>
      </c>
    </row>
    <row r="181" customFormat="false" ht="15" hidden="false" customHeight="true" outlineLevel="0" collapsed="false">
      <c r="A181" s="10" t="s">
        <v>22</v>
      </c>
      <c r="B181" s="10" t="s">
        <v>112</v>
      </c>
      <c r="C181" s="8" t="n">
        <v>17</v>
      </c>
      <c r="D181" s="10" t="s">
        <v>303</v>
      </c>
      <c r="E181" s="8" t="n">
        <v>997</v>
      </c>
      <c r="F181" s="8" t="n">
        <v>46.4</v>
      </c>
      <c r="G181" s="8" t="n">
        <v>5</v>
      </c>
      <c r="H181" s="8" t="n">
        <v>0</v>
      </c>
      <c r="I181" s="8" t="n">
        <v>0</v>
      </c>
      <c r="J181" s="9" t="n">
        <f aca="false">IF(E181=0,"",G181/E181*100)</f>
        <v>0.501504513540622</v>
      </c>
      <c r="K181" s="9" t="n">
        <f aca="false">IF(E181=0,"",I181/E181*1000)</f>
        <v>0</v>
      </c>
      <c r="L181" s="8" t="n">
        <v>1</v>
      </c>
    </row>
    <row r="182" customFormat="false" ht="15" hidden="false" customHeight="true" outlineLevel="0" collapsed="false">
      <c r="A182" s="10" t="s">
        <v>22</v>
      </c>
      <c r="B182" s="10" t="s">
        <v>117</v>
      </c>
      <c r="C182" s="8" t="n">
        <v>16</v>
      </c>
      <c r="D182" s="8" t="s">
        <v>304</v>
      </c>
      <c r="E182" s="8" t="n">
        <v>1286</v>
      </c>
      <c r="F182" s="8" t="n">
        <v>52.4</v>
      </c>
      <c r="G182" s="8" t="n">
        <v>7</v>
      </c>
      <c r="H182" s="8" t="n">
        <v>0</v>
      </c>
      <c r="I182" s="8" t="n">
        <v>0</v>
      </c>
      <c r="J182" s="9" t="n">
        <f aca="false">IF(E182=0,"",G182/E182*100)</f>
        <v>0.544323483670296</v>
      </c>
      <c r="K182" s="9" t="n">
        <f aca="false">IF(E182=0,"",I182/E182*1000)</f>
        <v>0</v>
      </c>
      <c r="L182" s="8" t="n">
        <v>1</v>
      </c>
    </row>
    <row r="183" customFormat="false" ht="15" hidden="false" customHeight="true" outlineLevel="0" collapsed="false">
      <c r="A183" s="10" t="s">
        <v>22</v>
      </c>
      <c r="B183" s="10" t="s">
        <v>117</v>
      </c>
      <c r="C183" s="8" t="n">
        <v>17</v>
      </c>
      <c r="D183" s="10" t="s">
        <v>305</v>
      </c>
      <c r="E183" s="8" t="n">
        <v>1053</v>
      </c>
      <c r="F183" s="8" t="n">
        <v>45.5</v>
      </c>
      <c r="G183" s="8" t="n">
        <v>5</v>
      </c>
      <c r="H183" s="8" t="n">
        <v>0</v>
      </c>
      <c r="I183" s="8" t="n">
        <v>1</v>
      </c>
      <c r="J183" s="9" t="n">
        <f aca="false">IF(E183=0,"",G183/E183*100)</f>
        <v>0.474833808167142</v>
      </c>
      <c r="K183" s="9" t="n">
        <f aca="false">IF(E183=0,"",I183/E183*1000)</f>
        <v>0.949667616334283</v>
      </c>
      <c r="L183" s="8" t="n">
        <v>1</v>
      </c>
    </row>
    <row r="184" customFormat="false" ht="15" hidden="false" customHeight="true" outlineLevel="0" collapsed="false">
      <c r="A184" s="10" t="s">
        <v>22</v>
      </c>
      <c r="B184" s="10" t="s">
        <v>117</v>
      </c>
      <c r="C184" s="8" t="n">
        <v>17</v>
      </c>
      <c r="D184" s="8" t="s">
        <v>306</v>
      </c>
      <c r="E184" s="8" t="n">
        <v>1126</v>
      </c>
      <c r="F184" s="8" t="n">
        <v>43.6</v>
      </c>
      <c r="G184" s="8" t="n">
        <v>3</v>
      </c>
      <c r="H184" s="8" t="n">
        <v>0</v>
      </c>
      <c r="I184" s="8" t="n">
        <v>1</v>
      </c>
      <c r="J184" s="9" t="n">
        <f aca="false">IF(E184=0,"",G184/E184*100)</f>
        <v>0.266429840142096</v>
      </c>
      <c r="K184" s="9" t="n">
        <f aca="false">IF(E184=0,"",I184/E184*1000)</f>
        <v>0.88809946714032</v>
      </c>
      <c r="L184" s="8" t="n">
        <v>1</v>
      </c>
    </row>
    <row r="185" customFormat="false" ht="15" hidden="false" customHeight="true" outlineLevel="0" collapsed="false">
      <c r="A185" s="10" t="s">
        <v>22</v>
      </c>
      <c r="B185" s="10" t="s">
        <v>122</v>
      </c>
      <c r="C185" s="8" t="n">
        <v>16</v>
      </c>
      <c r="D185" s="8" t="s">
        <v>307</v>
      </c>
      <c r="E185" s="8" t="n">
        <v>1121</v>
      </c>
      <c r="F185" s="8" t="n">
        <v>43.6</v>
      </c>
      <c r="G185" s="8" t="n">
        <v>3</v>
      </c>
      <c r="H185" s="8" t="n">
        <v>0</v>
      </c>
      <c r="I185" s="8" t="n">
        <v>0</v>
      </c>
      <c r="J185" s="9" t="n">
        <f aca="false">IF(E185=0,"",G185/E185*100)</f>
        <v>0.267618198037467</v>
      </c>
      <c r="K185" s="9" t="n">
        <f aca="false">IF(E185=0,"",I185/E185*1000)</f>
        <v>0</v>
      </c>
      <c r="L185" s="8" t="n">
        <v>1</v>
      </c>
    </row>
    <row r="186" customFormat="false" ht="15" hidden="false" customHeight="true" outlineLevel="0" collapsed="false">
      <c r="A186" s="10" t="s">
        <v>22</v>
      </c>
      <c r="B186" s="10" t="s">
        <v>122</v>
      </c>
      <c r="C186" s="8" t="n">
        <v>17</v>
      </c>
      <c r="D186" s="10" t="s">
        <v>308</v>
      </c>
      <c r="E186" s="8" t="n">
        <v>1066</v>
      </c>
      <c r="F186" s="8" t="n">
        <v>50</v>
      </c>
      <c r="G186" s="8" t="n">
        <v>6</v>
      </c>
      <c r="H186" s="8" t="n">
        <v>0</v>
      </c>
      <c r="I186" s="8" t="n">
        <v>1</v>
      </c>
      <c r="J186" s="9" t="n">
        <f aca="false">IF(E186=0,"",G186/E186*100)</f>
        <v>0.562851782363978</v>
      </c>
      <c r="K186" s="9" t="n">
        <f aca="false">IF(E186=0,"",I186/E186*1000)</f>
        <v>0.938086303939963</v>
      </c>
      <c r="L186" s="8" t="n">
        <v>1</v>
      </c>
    </row>
    <row r="187" customFormat="false" ht="15" hidden="false" customHeight="true" outlineLevel="0" collapsed="false">
      <c r="A187" s="10" t="s">
        <v>22</v>
      </c>
      <c r="B187" s="10" t="s">
        <v>122</v>
      </c>
      <c r="C187" s="8" t="n">
        <v>17</v>
      </c>
      <c r="D187" s="8" t="s">
        <v>309</v>
      </c>
      <c r="E187" s="8" t="n">
        <v>1205</v>
      </c>
      <c r="F187" s="8" t="n">
        <v>46.6</v>
      </c>
      <c r="G187" s="8" t="n">
        <v>6</v>
      </c>
      <c r="H187" s="8" t="n">
        <v>0</v>
      </c>
      <c r="I187" s="8" t="n">
        <v>1</v>
      </c>
      <c r="J187" s="9" t="n">
        <f aca="false">IF(E187=0,"",G187/E187*100)</f>
        <v>0.497925311203319</v>
      </c>
      <c r="K187" s="9" t="n">
        <f aca="false">IF(E187=0,"",I187/E187*1000)</f>
        <v>0.829875518672199</v>
      </c>
      <c r="L187" s="8" t="n">
        <v>1</v>
      </c>
    </row>
    <row r="188" customFormat="false" ht="15" hidden="false" customHeight="true" outlineLevel="0" collapsed="false">
      <c r="A188" s="10" t="s">
        <v>22</v>
      </c>
      <c r="B188" s="10" t="s">
        <v>122</v>
      </c>
      <c r="C188" s="8" t="n">
        <v>17</v>
      </c>
      <c r="D188" s="10" t="s">
        <v>310</v>
      </c>
      <c r="E188" s="8" t="n">
        <v>24</v>
      </c>
      <c r="F188" s="8" t="n">
        <v>49.7</v>
      </c>
      <c r="G188" s="8" t="n">
        <v>0</v>
      </c>
      <c r="H188" s="8" t="n">
        <v>0</v>
      </c>
      <c r="I188" s="8" t="n">
        <v>0</v>
      </c>
      <c r="J188" s="9" t="n">
        <f aca="false">IF(E188=0,"",G188/E188*100)</f>
        <v>0</v>
      </c>
      <c r="K188" s="9" t="n">
        <f aca="false">IF(E188=0,"",I188/E188*1000)</f>
        <v>0</v>
      </c>
      <c r="L188" s="8" t="n">
        <v>0</v>
      </c>
    </row>
    <row r="189" customFormat="false" ht="15" hidden="false" customHeight="true" outlineLevel="0" collapsed="false">
      <c r="A189" s="10" t="s">
        <v>22</v>
      </c>
      <c r="B189" s="10" t="s">
        <v>127</v>
      </c>
      <c r="C189" s="8" t="n">
        <v>17</v>
      </c>
      <c r="D189" s="8" t="s">
        <v>311</v>
      </c>
      <c r="E189" s="8" t="n">
        <v>269</v>
      </c>
      <c r="F189" s="8" t="n">
        <v>46</v>
      </c>
      <c r="G189" s="8" t="n">
        <v>0</v>
      </c>
      <c r="H189" s="8" t="n">
        <v>0</v>
      </c>
      <c r="I189" s="8" t="n">
        <v>0</v>
      </c>
      <c r="J189" s="9" t="n">
        <f aca="false">IF(E189=0,"",G189/E189*100)</f>
        <v>0</v>
      </c>
      <c r="K189" s="9" t="n">
        <f aca="false">IF(E189=0,"",I189/E189*1000)</f>
        <v>0</v>
      </c>
      <c r="L189" s="8" t="n">
        <v>0</v>
      </c>
    </row>
    <row r="190" customFormat="false" ht="15" hidden="false" customHeight="true" outlineLevel="0" collapsed="false">
      <c r="A190" s="10" t="s">
        <v>22</v>
      </c>
      <c r="B190" s="10" t="s">
        <v>127</v>
      </c>
      <c r="C190" s="8" t="n">
        <v>17</v>
      </c>
      <c r="D190" s="8" t="s">
        <v>312</v>
      </c>
      <c r="E190" s="8" t="n">
        <v>1133</v>
      </c>
      <c r="F190" s="8" t="n">
        <v>44.9</v>
      </c>
      <c r="G190" s="8" t="n">
        <v>6</v>
      </c>
      <c r="H190" s="8" t="n">
        <v>0</v>
      </c>
      <c r="I190" s="8" t="n">
        <v>3</v>
      </c>
      <c r="J190" s="9" t="n">
        <f aca="false">IF(E190=0,"",G190/E190*100)</f>
        <v>0.529567519858782</v>
      </c>
      <c r="K190" s="9" t="n">
        <f aca="false">IF(E190=0,"",I190/E190*1000)</f>
        <v>2.64783759929391</v>
      </c>
      <c r="L190" s="8" t="n">
        <v>1</v>
      </c>
    </row>
    <row r="191" customFormat="false" ht="15" hidden="false" customHeight="true" outlineLevel="0" collapsed="false">
      <c r="A191" s="10" t="s">
        <v>22</v>
      </c>
      <c r="B191" s="10" t="s">
        <v>130</v>
      </c>
      <c r="C191" s="8" t="n">
        <v>17</v>
      </c>
      <c r="D191" s="10" t="s">
        <v>313</v>
      </c>
      <c r="E191" s="8" t="n">
        <v>1326</v>
      </c>
      <c r="F191" s="8" t="n">
        <v>71.2</v>
      </c>
      <c r="G191" s="8" t="n">
        <v>1</v>
      </c>
      <c r="H191" s="8" t="n">
        <v>1</v>
      </c>
      <c r="I191" s="8" t="n">
        <v>1</v>
      </c>
      <c r="J191" s="9" t="n">
        <f aca="false">IF(E191=0,"",G191/E191*100)</f>
        <v>0.0754147812971343</v>
      </c>
      <c r="K191" s="9" t="n">
        <f aca="false">IF(E191=0,"",I191/E191*1000)</f>
        <v>0.754147812971342</v>
      </c>
      <c r="L191" s="8" t="n">
        <v>1</v>
      </c>
    </row>
    <row r="192" customFormat="false" ht="15" hidden="false" customHeight="true" outlineLevel="0" collapsed="false">
      <c r="A192" s="10" t="s">
        <v>22</v>
      </c>
      <c r="B192" s="10" t="s">
        <v>130</v>
      </c>
      <c r="C192" s="8" t="n">
        <v>17</v>
      </c>
      <c r="D192" s="10" t="s">
        <v>314</v>
      </c>
      <c r="E192" s="8" t="n">
        <v>41</v>
      </c>
      <c r="F192" s="8" t="n">
        <v>50.9</v>
      </c>
      <c r="G192" s="8" t="n">
        <v>2</v>
      </c>
      <c r="H192" s="8" t="n">
        <v>0</v>
      </c>
      <c r="I192" s="8" t="n">
        <v>1</v>
      </c>
      <c r="J192" s="9" t="n">
        <f aca="false">IF(E192=0,"",G192/E192*100)</f>
        <v>4.87804878048781</v>
      </c>
      <c r="K192" s="9" t="n">
        <f aca="false">IF(E192=0,"",I192/E192*1000)</f>
        <v>24.390243902439</v>
      </c>
      <c r="L192" s="8" t="n">
        <v>0</v>
      </c>
    </row>
    <row r="193" customFormat="false" ht="15" hidden="false" customHeight="true" outlineLevel="0" collapsed="false">
      <c r="A193" s="10" t="s">
        <v>22</v>
      </c>
      <c r="B193" s="10" t="s">
        <v>130</v>
      </c>
      <c r="C193" s="8" t="n">
        <v>16</v>
      </c>
      <c r="D193" s="8" t="s">
        <v>315</v>
      </c>
      <c r="E193" s="8" t="n">
        <v>294</v>
      </c>
      <c r="F193" s="8" t="n">
        <v>82.9</v>
      </c>
      <c r="G193" s="8" t="n">
        <v>1</v>
      </c>
      <c r="H193" s="8" t="n">
        <v>0</v>
      </c>
      <c r="I193" s="8" t="n">
        <v>0</v>
      </c>
      <c r="J193" s="9" t="n">
        <f aca="false">IF(E193=0,"",G193/E193*100)</f>
        <v>0.340136054421769</v>
      </c>
      <c r="K193" s="9" t="n">
        <f aca="false">IF(E193=0,"",I193/E193*1000)</f>
        <v>0</v>
      </c>
      <c r="L193" s="8" t="n">
        <v>0</v>
      </c>
    </row>
    <row r="194" customFormat="false" ht="15" hidden="false" customHeight="true" outlineLevel="0" collapsed="false">
      <c r="A194" s="10" t="s">
        <v>22</v>
      </c>
      <c r="B194" s="10" t="s">
        <v>130</v>
      </c>
      <c r="C194" s="8" t="n">
        <v>17</v>
      </c>
      <c r="D194" s="8" t="s">
        <v>316</v>
      </c>
      <c r="E194" s="8" t="n">
        <v>982</v>
      </c>
      <c r="F194" s="8" t="n">
        <v>43.6</v>
      </c>
      <c r="G194" s="8" t="n">
        <v>1</v>
      </c>
      <c r="H194" s="8" t="n">
        <v>0</v>
      </c>
      <c r="I194" s="8" t="n">
        <v>1</v>
      </c>
      <c r="J194" s="9" t="n">
        <f aca="false">IF(E194=0,"",G194/E194*100)</f>
        <v>0.10183299389002</v>
      </c>
      <c r="K194" s="9" t="n">
        <f aca="false">IF(E194=0,"",I194/E194*1000)</f>
        <v>1.0183299389002</v>
      </c>
      <c r="L194" s="8" t="n">
        <v>1</v>
      </c>
    </row>
    <row r="195" customFormat="false" ht="15" hidden="false" customHeight="true" outlineLevel="0" collapsed="false">
      <c r="A195" s="10" t="s">
        <v>22</v>
      </c>
      <c r="B195" s="10" t="s">
        <v>135</v>
      </c>
      <c r="C195" s="8" t="n">
        <v>17</v>
      </c>
      <c r="D195" s="8" t="s">
        <v>317</v>
      </c>
      <c r="E195" s="8" t="n">
        <v>1165</v>
      </c>
      <c r="F195" s="8" t="n">
        <v>51.5</v>
      </c>
      <c r="G195" s="8" t="n">
        <v>10</v>
      </c>
      <c r="H195" s="8" t="n">
        <v>1</v>
      </c>
      <c r="I195" s="8" t="n">
        <v>3</v>
      </c>
      <c r="J195" s="9" t="n">
        <f aca="false">IF(E195=0,"",G195/E195*100)</f>
        <v>0.858369098712446</v>
      </c>
      <c r="K195" s="9" t="n">
        <f aca="false">IF(E195=0,"",I195/E195*1000)</f>
        <v>2.57510729613734</v>
      </c>
      <c r="L195" s="8" t="n">
        <v>1</v>
      </c>
    </row>
    <row r="196" customFormat="false" ht="15" hidden="false" customHeight="true" outlineLevel="0" collapsed="false">
      <c r="A196" s="10" t="s">
        <v>22</v>
      </c>
      <c r="B196" s="10" t="s">
        <v>135</v>
      </c>
      <c r="C196" s="8" t="n">
        <v>17</v>
      </c>
      <c r="D196" s="8" t="s">
        <v>318</v>
      </c>
      <c r="E196" s="8" t="n">
        <v>1197</v>
      </c>
      <c r="F196" s="8" t="n">
        <v>47.8</v>
      </c>
      <c r="G196" s="8" t="n">
        <v>6</v>
      </c>
      <c r="H196" s="8" t="n">
        <v>1</v>
      </c>
      <c r="I196" s="8" t="n">
        <v>1</v>
      </c>
      <c r="J196" s="9" t="n">
        <f aca="false">IF(E196=0,"",G196/E196*100)</f>
        <v>0.50125313283208</v>
      </c>
      <c r="K196" s="9" t="n">
        <f aca="false">IF(E196=0,"",I196/E196*1000)</f>
        <v>0.835421888053467</v>
      </c>
      <c r="L196" s="8" t="n">
        <v>1</v>
      </c>
    </row>
    <row r="197" customFormat="false" ht="15" hidden="false" customHeight="true" outlineLevel="0" collapsed="false">
      <c r="A197" s="10" t="s">
        <v>22</v>
      </c>
      <c r="B197" s="10" t="s">
        <v>135</v>
      </c>
      <c r="C197" s="8" t="n">
        <v>17</v>
      </c>
      <c r="D197" s="10" t="s">
        <v>319</v>
      </c>
      <c r="E197" s="8" t="n">
        <v>969</v>
      </c>
      <c r="F197" s="8" t="n">
        <v>61.8</v>
      </c>
      <c r="G197" s="8" t="n">
        <v>4</v>
      </c>
      <c r="H197" s="8" t="n">
        <v>0</v>
      </c>
      <c r="I197" s="8" t="n">
        <v>0</v>
      </c>
      <c r="J197" s="9" t="n">
        <f aca="false">IF(E197=0,"",G197/E197*100)</f>
        <v>0.412796697626419</v>
      </c>
      <c r="K197" s="9" t="n">
        <f aca="false">IF(E197=0,"",I197/E197*1000)</f>
        <v>0</v>
      </c>
      <c r="L197" s="8" t="n">
        <v>1</v>
      </c>
    </row>
    <row r="198" customFormat="false" ht="15" hidden="false" customHeight="true" outlineLevel="0" collapsed="false">
      <c r="A198" s="10" t="s">
        <v>22</v>
      </c>
      <c r="B198" s="10" t="s">
        <v>139</v>
      </c>
      <c r="C198" s="8" t="n">
        <v>16</v>
      </c>
      <c r="D198" s="8" t="s">
        <v>320</v>
      </c>
      <c r="E198" s="8" t="n">
        <v>263</v>
      </c>
      <c r="F198" s="8" t="n">
        <v>45.8</v>
      </c>
      <c r="G198" s="8" t="n">
        <v>0</v>
      </c>
      <c r="H198" s="8" t="n">
        <v>2</v>
      </c>
      <c r="I198" s="8" t="n">
        <v>0</v>
      </c>
      <c r="J198" s="9" t="n">
        <f aca="false">IF(E198=0,"",G198/E198*100)</f>
        <v>0</v>
      </c>
      <c r="K198" s="9" t="n">
        <f aca="false">IF(E198=0,"",I198/E198*1000)</f>
        <v>0</v>
      </c>
      <c r="L198" s="8" t="n">
        <v>0</v>
      </c>
    </row>
    <row r="199" customFormat="false" ht="15" hidden="false" customHeight="true" outlineLevel="0" collapsed="false">
      <c r="A199" s="10" t="s">
        <v>22</v>
      </c>
      <c r="B199" s="10" t="s">
        <v>139</v>
      </c>
      <c r="C199" s="8" t="n">
        <v>16</v>
      </c>
      <c r="D199" s="8" t="s">
        <v>321</v>
      </c>
      <c r="E199" s="8" t="n">
        <v>1207</v>
      </c>
      <c r="F199" s="8" t="n">
        <v>59.9</v>
      </c>
      <c r="G199" s="8" t="n">
        <v>6</v>
      </c>
      <c r="H199" s="8" t="n">
        <v>0</v>
      </c>
      <c r="I199" s="8" t="n">
        <v>0</v>
      </c>
      <c r="J199" s="9" t="n">
        <f aca="false">IF(E199=0,"",G199/E199*100)</f>
        <v>0.497100248550124</v>
      </c>
      <c r="K199" s="9" t="n">
        <f aca="false">IF(E199=0,"",I199/E199*1000)</f>
        <v>0</v>
      </c>
      <c r="L199" s="8" t="n">
        <v>1</v>
      </c>
    </row>
    <row r="200" customFormat="false" ht="15" hidden="false" customHeight="true" outlineLevel="0" collapsed="false">
      <c r="A200" s="10" t="s">
        <v>22</v>
      </c>
      <c r="B200" s="10" t="s">
        <v>139</v>
      </c>
      <c r="C200" s="8" t="n">
        <v>20</v>
      </c>
      <c r="D200" s="8" t="s">
        <v>322</v>
      </c>
      <c r="E200" s="8" t="n">
        <v>36</v>
      </c>
      <c r="F200" s="8" t="n">
        <v>72.8</v>
      </c>
      <c r="G200" s="8" t="n">
        <v>0</v>
      </c>
      <c r="H200" s="8" t="n">
        <v>0</v>
      </c>
      <c r="I200" s="8" t="n">
        <v>0</v>
      </c>
      <c r="J200" s="9" t="n">
        <f aca="false">IF(E200=0,"",G200/E200*100)</f>
        <v>0</v>
      </c>
      <c r="K200" s="9" t="n">
        <f aca="false">IF(E200=0,"",I200/E200*1000)</f>
        <v>0</v>
      </c>
      <c r="L200" s="8" t="n">
        <v>0</v>
      </c>
    </row>
    <row r="201" customFormat="false" ht="15" hidden="false" customHeight="true" outlineLevel="0" collapsed="false">
      <c r="A201" s="10" t="s">
        <v>22</v>
      </c>
      <c r="B201" s="10" t="s">
        <v>144</v>
      </c>
      <c r="C201" s="8" t="n">
        <v>18</v>
      </c>
      <c r="D201" s="8" t="s">
        <v>323</v>
      </c>
      <c r="E201" s="8" t="n">
        <v>429</v>
      </c>
      <c r="F201" s="8" t="n">
        <v>54.8</v>
      </c>
      <c r="G201" s="8" t="n">
        <v>0</v>
      </c>
      <c r="H201" s="8" t="n">
        <v>0</v>
      </c>
      <c r="I201" s="8" t="n">
        <v>0</v>
      </c>
      <c r="J201" s="9" t="n">
        <f aca="false">IF(E201=0,"",G201/E201*100)</f>
        <v>0</v>
      </c>
      <c r="K201" s="9" t="n">
        <f aca="false">IF(E201=0,"",I201/E201*1000)</f>
        <v>0</v>
      </c>
      <c r="L201" s="8" t="n">
        <v>1</v>
      </c>
    </row>
    <row r="202" customFormat="false" ht="15" hidden="false" customHeight="true" outlineLevel="0" collapsed="false">
      <c r="A202" s="10" t="s">
        <v>22</v>
      </c>
      <c r="B202" s="10" t="s">
        <v>144</v>
      </c>
      <c r="C202" s="8" t="n">
        <v>19</v>
      </c>
      <c r="D202" s="8" t="s">
        <v>324</v>
      </c>
      <c r="E202" s="8" t="n">
        <v>1023</v>
      </c>
      <c r="F202" s="8" t="n">
        <v>47</v>
      </c>
      <c r="G202" s="8" t="n">
        <v>6</v>
      </c>
      <c r="H202" s="8" t="n">
        <v>0</v>
      </c>
      <c r="I202" s="8" t="n">
        <v>3</v>
      </c>
      <c r="J202" s="9" t="n">
        <f aca="false">IF(E202=0,"",G202/E202*100)</f>
        <v>0.586510263929619</v>
      </c>
      <c r="K202" s="9" t="n">
        <f aca="false">IF(E202=0,"",I202/E202*1000)</f>
        <v>2.93255131964809</v>
      </c>
      <c r="L202" s="8" t="n">
        <v>1</v>
      </c>
    </row>
    <row r="203" customFormat="false" ht="15" hidden="false" customHeight="true" outlineLevel="0" collapsed="false">
      <c r="A203" s="10" t="s">
        <v>22</v>
      </c>
      <c r="B203" s="10" t="s">
        <v>144</v>
      </c>
      <c r="C203" s="8" t="n">
        <v>19</v>
      </c>
      <c r="D203" s="8" t="s">
        <v>325</v>
      </c>
      <c r="E203" s="8" t="n">
        <v>959</v>
      </c>
      <c r="F203" s="8" t="n">
        <v>51.6</v>
      </c>
      <c r="G203" s="8" t="n">
        <v>2</v>
      </c>
      <c r="H203" s="8" t="n">
        <v>0</v>
      </c>
      <c r="I203" s="8" t="n">
        <v>0</v>
      </c>
      <c r="J203" s="9" t="n">
        <f aca="false">IF(E203=0,"",G203/E203*100)</f>
        <v>0.208550573514077</v>
      </c>
      <c r="K203" s="9" t="n">
        <f aca="false">IF(E203=0,"",I203/E203*1000)</f>
        <v>0</v>
      </c>
      <c r="L203" s="8" t="n">
        <v>1</v>
      </c>
    </row>
    <row r="204" customFormat="false" ht="15" hidden="false" customHeight="true" outlineLevel="0" collapsed="false">
      <c r="A204" s="10" t="s">
        <v>22</v>
      </c>
      <c r="B204" s="10" t="s">
        <v>148</v>
      </c>
      <c r="C204" s="8" t="n">
        <v>18</v>
      </c>
      <c r="D204" s="8" t="s">
        <v>326</v>
      </c>
      <c r="E204" s="8" t="n">
        <v>167</v>
      </c>
      <c r="F204" s="8" t="n">
        <v>56</v>
      </c>
      <c r="G204" s="8" t="n">
        <v>0</v>
      </c>
      <c r="H204" s="8" t="n">
        <v>0</v>
      </c>
      <c r="I204" s="8" t="n">
        <v>0</v>
      </c>
      <c r="J204" s="9" t="n">
        <f aca="false">IF(E204=0,"",G204/E204*100)</f>
        <v>0</v>
      </c>
      <c r="K204" s="9" t="n">
        <f aca="false">IF(E204=0,"",I204/E204*1000)</f>
        <v>0</v>
      </c>
      <c r="L204" s="8" t="n">
        <v>0</v>
      </c>
    </row>
    <row r="205" customFormat="false" ht="15" hidden="false" customHeight="true" outlineLevel="0" collapsed="false">
      <c r="A205" s="10" t="s">
        <v>22</v>
      </c>
      <c r="B205" s="10" t="s">
        <v>148</v>
      </c>
      <c r="C205" s="8" t="n">
        <v>19</v>
      </c>
      <c r="D205" s="8" t="s">
        <v>327</v>
      </c>
      <c r="E205" s="8" t="n">
        <v>449</v>
      </c>
      <c r="F205" s="8" t="n">
        <v>59.1</v>
      </c>
      <c r="G205" s="8" t="n">
        <v>2</v>
      </c>
      <c r="H205" s="8" t="n">
        <v>0</v>
      </c>
      <c r="I205" s="8" t="n">
        <v>0</v>
      </c>
      <c r="J205" s="9" t="n">
        <f aca="false">IF(E205=0,"",G205/E205*100)</f>
        <v>0.44543429844098</v>
      </c>
      <c r="K205" s="9" t="n">
        <f aca="false">IF(E205=0,"",I205/E205*1000)</f>
        <v>0</v>
      </c>
      <c r="L205" s="8" t="n">
        <v>1</v>
      </c>
    </row>
    <row r="206" customFormat="false" ht="15" hidden="false" customHeight="true" outlineLevel="0" collapsed="false">
      <c r="A206" s="10" t="s">
        <v>22</v>
      </c>
      <c r="B206" s="10" t="s">
        <v>150</v>
      </c>
      <c r="C206" s="8" t="n">
        <v>18</v>
      </c>
      <c r="D206" s="8" t="s">
        <v>328</v>
      </c>
      <c r="E206" s="8" t="n">
        <v>1140</v>
      </c>
      <c r="F206" s="8" t="n">
        <v>46.1</v>
      </c>
      <c r="G206" s="8" t="n">
        <v>13</v>
      </c>
      <c r="H206" s="8" t="n">
        <v>0</v>
      </c>
      <c r="I206" s="8" t="n">
        <v>3</v>
      </c>
      <c r="J206" s="9" t="n">
        <f aca="false">IF(E206=0,"",G206/E206*100)</f>
        <v>1.14035087719298</v>
      </c>
      <c r="K206" s="9" t="n">
        <f aca="false">IF(E206=0,"",I206/E206*1000)</f>
        <v>2.63157894736842</v>
      </c>
      <c r="L206" s="8" t="n">
        <v>1</v>
      </c>
    </row>
    <row r="207" customFormat="false" ht="15" hidden="false" customHeight="true" outlineLevel="0" collapsed="false">
      <c r="A207" s="10" t="s">
        <v>22</v>
      </c>
      <c r="B207" s="10" t="s">
        <v>150</v>
      </c>
      <c r="C207" s="8" t="n">
        <v>18</v>
      </c>
      <c r="D207" s="8" t="s">
        <v>329</v>
      </c>
      <c r="E207" s="8" t="n">
        <v>16</v>
      </c>
      <c r="F207" s="8" t="n">
        <v>60.3</v>
      </c>
      <c r="G207" s="8" t="n">
        <v>0</v>
      </c>
      <c r="H207" s="8" t="n">
        <v>0</v>
      </c>
      <c r="I207" s="8" t="n">
        <v>0</v>
      </c>
      <c r="J207" s="9" t="n">
        <f aca="false">IF(E207=0,"",G207/E207*100)</f>
        <v>0</v>
      </c>
      <c r="K207" s="9" t="n">
        <f aca="false">IF(E207=0,"",I207/E207*1000)</f>
        <v>0</v>
      </c>
      <c r="L207" s="8" t="n">
        <v>0</v>
      </c>
    </row>
    <row r="208" customFormat="false" ht="15" hidden="false" customHeight="true" outlineLevel="0" collapsed="false">
      <c r="A208" s="10" t="s">
        <v>22</v>
      </c>
      <c r="B208" s="10" t="s">
        <v>150</v>
      </c>
      <c r="C208" s="8" t="n">
        <v>19</v>
      </c>
      <c r="D208" s="10" t="s">
        <v>330</v>
      </c>
      <c r="E208" s="8" t="n">
        <v>999</v>
      </c>
      <c r="F208" s="8" t="n">
        <v>39.9</v>
      </c>
      <c r="G208" s="8" t="n">
        <v>6</v>
      </c>
      <c r="H208" s="8" t="n">
        <v>0</v>
      </c>
      <c r="I208" s="8" t="n">
        <v>1</v>
      </c>
      <c r="J208" s="9" t="n">
        <f aca="false">IF(E208=0,"",G208/E208*100)</f>
        <v>0.600600600600601</v>
      </c>
      <c r="K208" s="9" t="n">
        <f aca="false">IF(E208=0,"",I208/E208*1000)</f>
        <v>1.001001001001</v>
      </c>
      <c r="L208" s="8" t="n">
        <v>1</v>
      </c>
    </row>
    <row r="209" customFormat="false" ht="15" hidden="false" customHeight="true" outlineLevel="0" collapsed="false">
      <c r="A209" s="10" t="s">
        <v>22</v>
      </c>
      <c r="B209" s="10" t="s">
        <v>154</v>
      </c>
      <c r="C209" s="8" t="n">
        <v>20</v>
      </c>
      <c r="D209" s="8" t="s">
        <v>331</v>
      </c>
      <c r="E209" s="8" t="n">
        <v>1098</v>
      </c>
      <c r="F209" s="8" t="n">
        <v>44.5</v>
      </c>
      <c r="G209" s="8" t="n">
        <v>5</v>
      </c>
      <c r="H209" s="8" t="n">
        <v>0</v>
      </c>
      <c r="I209" s="8" t="n">
        <v>0</v>
      </c>
      <c r="J209" s="9" t="n">
        <f aca="false">IF(E209=0,"",G209/E209*100)</f>
        <v>0.455373406193078</v>
      </c>
      <c r="K209" s="9" t="n">
        <f aca="false">IF(E209=0,"",I209/E209*1000)</f>
        <v>0</v>
      </c>
      <c r="L209" s="8" t="n">
        <v>1</v>
      </c>
    </row>
    <row r="210" customFormat="false" ht="15" hidden="false" customHeight="true" outlineLevel="0" collapsed="false">
      <c r="A210" s="10" t="s">
        <v>22</v>
      </c>
      <c r="B210" s="10" t="s">
        <v>154</v>
      </c>
      <c r="C210" s="8" t="n">
        <v>19</v>
      </c>
      <c r="D210" s="8" t="s">
        <v>332</v>
      </c>
      <c r="E210" s="8" t="n">
        <v>1151</v>
      </c>
      <c r="F210" s="8" t="n">
        <v>43.8</v>
      </c>
      <c r="G210" s="8" t="n">
        <v>5</v>
      </c>
      <c r="H210" s="8" t="n">
        <v>0</v>
      </c>
      <c r="I210" s="8" t="n">
        <v>1</v>
      </c>
      <c r="J210" s="9" t="n">
        <f aca="false">IF(E210=0,"",G210/E210*100)</f>
        <v>0.434404865334492</v>
      </c>
      <c r="K210" s="9" t="n">
        <f aca="false">IF(E210=0,"",I210/E210*1000)</f>
        <v>0.868809730668984</v>
      </c>
      <c r="L210" s="8" t="n">
        <v>1</v>
      </c>
    </row>
    <row r="211" customFormat="false" ht="15" hidden="false" customHeight="true" outlineLevel="0" collapsed="false">
      <c r="A211" s="10" t="s">
        <v>22</v>
      </c>
      <c r="B211" s="10" t="s">
        <v>154</v>
      </c>
      <c r="C211" s="8" t="n">
        <v>19</v>
      </c>
      <c r="D211" s="8" t="s">
        <v>333</v>
      </c>
      <c r="E211" s="8" t="n">
        <v>949</v>
      </c>
      <c r="F211" s="8" t="n">
        <v>45.3</v>
      </c>
      <c r="G211" s="8" t="n">
        <v>6</v>
      </c>
      <c r="H211" s="8" t="n">
        <v>0</v>
      </c>
      <c r="I211" s="8" t="n">
        <v>0</v>
      </c>
      <c r="J211" s="9" t="n">
        <f aca="false">IF(E211=0,"",G211/E211*100)</f>
        <v>0.632244467860906</v>
      </c>
      <c r="K211" s="9" t="n">
        <f aca="false">IF(E211=0,"",I211/E211*1000)</f>
        <v>0</v>
      </c>
      <c r="L211" s="8" t="n">
        <v>1</v>
      </c>
    </row>
    <row r="212" customFormat="false" ht="15" hidden="false" customHeight="true" outlineLevel="0" collapsed="false">
      <c r="A212" s="10" t="s">
        <v>22</v>
      </c>
      <c r="B212" s="10" t="s">
        <v>158</v>
      </c>
      <c r="C212" s="8" t="n">
        <v>23</v>
      </c>
      <c r="D212" s="8" t="s">
        <v>334</v>
      </c>
      <c r="E212" s="8" t="n">
        <v>39</v>
      </c>
      <c r="F212" s="8" t="n">
        <v>53.1</v>
      </c>
      <c r="G212" s="8" t="n">
        <v>0</v>
      </c>
      <c r="H212" s="8" t="n">
        <v>0</v>
      </c>
      <c r="I212" s="8" t="n">
        <v>0</v>
      </c>
      <c r="J212" s="9" t="n">
        <f aca="false">IF(E212=0,"",G212/E212*100)</f>
        <v>0</v>
      </c>
      <c r="K212" s="9" t="n">
        <f aca="false">IF(E212=0,"",I212/E212*1000)</f>
        <v>0</v>
      </c>
      <c r="L212" s="8" t="n">
        <v>0</v>
      </c>
    </row>
    <row r="213" customFormat="false" ht="15" hidden="false" customHeight="true" outlineLevel="0" collapsed="false">
      <c r="A213" s="10" t="s">
        <v>22</v>
      </c>
      <c r="B213" s="10" t="s">
        <v>158</v>
      </c>
      <c r="C213" s="8" t="n">
        <v>22</v>
      </c>
      <c r="D213" s="8" t="s">
        <v>335</v>
      </c>
      <c r="E213" s="8" t="n">
        <v>1016</v>
      </c>
      <c r="F213" s="8" t="n">
        <v>41</v>
      </c>
      <c r="G213" s="8" t="n">
        <v>0</v>
      </c>
      <c r="H213" s="8" t="n">
        <v>0</v>
      </c>
      <c r="I213" s="8" t="n">
        <v>0</v>
      </c>
      <c r="J213" s="9" t="n">
        <f aca="false">IF(E213=0,"",G213/E213*100)</f>
        <v>0</v>
      </c>
      <c r="K213" s="9" t="n">
        <f aca="false">IF(E213=0,"",I213/E213*1000)</f>
        <v>0</v>
      </c>
      <c r="L213" s="8" t="n">
        <v>1</v>
      </c>
    </row>
    <row r="214" customFormat="false" ht="15" hidden="false" customHeight="true" outlineLevel="0" collapsed="false">
      <c r="A214" s="10" t="s">
        <v>22</v>
      </c>
      <c r="B214" s="10" t="s">
        <v>158</v>
      </c>
      <c r="C214" s="8" t="n">
        <v>23</v>
      </c>
      <c r="D214" s="8" t="s">
        <v>336</v>
      </c>
      <c r="E214" s="8" t="n">
        <v>905</v>
      </c>
      <c r="F214" s="8" t="n">
        <v>42</v>
      </c>
      <c r="G214" s="8" t="n">
        <v>7</v>
      </c>
      <c r="H214" s="8" t="n">
        <v>0</v>
      </c>
      <c r="I214" s="8" t="n">
        <v>1</v>
      </c>
      <c r="J214" s="9" t="n">
        <f aca="false">IF(E214=0,"",G214/E214*100)</f>
        <v>0.773480662983425</v>
      </c>
      <c r="K214" s="9" t="n">
        <f aca="false">IF(E214=0,"",I214/E214*1000)</f>
        <v>1.10497237569061</v>
      </c>
      <c r="L214" s="8" t="n">
        <v>1</v>
      </c>
    </row>
    <row r="215" customFormat="false" ht="15" hidden="false" customHeight="true" outlineLevel="0" collapsed="false">
      <c r="A215" s="10" t="s">
        <v>22</v>
      </c>
      <c r="B215" s="10" t="s">
        <v>158</v>
      </c>
      <c r="C215" s="8" t="n">
        <v>21</v>
      </c>
      <c r="D215" s="8" t="s">
        <v>337</v>
      </c>
      <c r="E215" s="8" t="n">
        <v>1084</v>
      </c>
      <c r="F215" s="8" t="n">
        <v>42.6</v>
      </c>
      <c r="G215" s="8" t="n">
        <v>0</v>
      </c>
      <c r="H215" s="8" t="n">
        <v>0</v>
      </c>
      <c r="I215" s="8" t="n">
        <v>0</v>
      </c>
      <c r="J215" s="9" t="n">
        <f aca="false">IF(E215=0,"",G215/E215*100)</f>
        <v>0</v>
      </c>
      <c r="K215" s="9" t="n">
        <f aca="false">IF(E215=0,"",I215/E215*1000)</f>
        <v>0</v>
      </c>
      <c r="L215" s="8" t="n">
        <v>1</v>
      </c>
    </row>
    <row r="216" customFormat="false" ht="15" hidden="false" customHeight="true" outlineLevel="0" collapsed="false">
      <c r="A216" s="10" t="s">
        <v>22</v>
      </c>
      <c r="B216" s="10" t="s">
        <v>163</v>
      </c>
      <c r="C216" s="8" t="n">
        <v>24</v>
      </c>
      <c r="D216" s="8" t="s">
        <v>338</v>
      </c>
      <c r="E216" s="8" t="n">
        <v>1308</v>
      </c>
      <c r="F216" s="8" t="n">
        <v>62.4</v>
      </c>
      <c r="G216" s="8" t="n">
        <v>7</v>
      </c>
      <c r="H216" s="8" t="n">
        <v>1</v>
      </c>
      <c r="I216" s="8" t="n">
        <v>3</v>
      </c>
      <c r="J216" s="9" t="n">
        <f aca="false">IF(E216=0,"",G216/E216*100)</f>
        <v>0.535168195718654</v>
      </c>
      <c r="K216" s="9" t="n">
        <f aca="false">IF(E216=0,"",I216/E216*1000)</f>
        <v>2.29357798165138</v>
      </c>
      <c r="L216" s="8" t="n">
        <v>1</v>
      </c>
    </row>
    <row r="217" customFormat="false" ht="15" hidden="false" customHeight="true" outlineLevel="0" collapsed="false">
      <c r="A217" s="10" t="s">
        <v>22</v>
      </c>
      <c r="B217" s="10" t="s">
        <v>163</v>
      </c>
      <c r="C217" s="8" t="n">
        <v>24</v>
      </c>
      <c r="D217" s="8" t="s">
        <v>339</v>
      </c>
      <c r="E217" s="8" t="n">
        <v>1010</v>
      </c>
      <c r="F217" s="8" t="n">
        <v>38.7</v>
      </c>
      <c r="G217" s="8" t="n">
        <v>6</v>
      </c>
      <c r="H217" s="8" t="n">
        <v>0</v>
      </c>
      <c r="I217" s="8" t="n">
        <v>0</v>
      </c>
      <c r="J217" s="9" t="n">
        <f aca="false">IF(E217=0,"",G217/E217*100)</f>
        <v>0.594059405940594</v>
      </c>
      <c r="K217" s="9" t="n">
        <f aca="false">IF(E217=0,"",I217/E217*1000)</f>
        <v>0</v>
      </c>
      <c r="L217" s="8" t="n">
        <v>1</v>
      </c>
    </row>
    <row r="218" customFormat="false" ht="15" hidden="false" customHeight="true" outlineLevel="0" collapsed="false">
      <c r="A218" s="10" t="s">
        <v>22</v>
      </c>
      <c r="B218" s="10" t="s">
        <v>163</v>
      </c>
      <c r="C218" s="8" t="n">
        <v>23</v>
      </c>
      <c r="D218" s="8" t="s">
        <v>340</v>
      </c>
      <c r="E218" s="8" t="n">
        <v>1256</v>
      </c>
      <c r="F218" s="8" t="n">
        <v>61.6</v>
      </c>
      <c r="G218" s="8" t="n">
        <v>6</v>
      </c>
      <c r="H218" s="8" t="n">
        <v>0</v>
      </c>
      <c r="I218" s="8" t="n">
        <v>2</v>
      </c>
      <c r="J218" s="9" t="n">
        <f aca="false">IF(E218=0,"",G218/E218*100)</f>
        <v>0.477707006369427</v>
      </c>
      <c r="K218" s="9" t="n">
        <f aca="false">IF(E218=0,"",I218/E218*1000)</f>
        <v>1.59235668789809</v>
      </c>
      <c r="L218" s="8" t="n">
        <v>1</v>
      </c>
    </row>
    <row r="219" customFormat="false" ht="15" hidden="false" customHeight="true" outlineLevel="0" collapsed="false">
      <c r="A219" s="10" t="s">
        <v>22</v>
      </c>
      <c r="B219" s="10" t="s">
        <v>167</v>
      </c>
      <c r="C219" s="8" t="n">
        <v>24</v>
      </c>
      <c r="D219" s="8" t="s">
        <v>341</v>
      </c>
      <c r="E219" s="8" t="n">
        <v>506</v>
      </c>
      <c r="F219" s="8" t="n">
        <v>50.3</v>
      </c>
      <c r="G219" s="8" t="n">
        <v>2</v>
      </c>
      <c r="H219" s="8" t="n">
        <v>0</v>
      </c>
      <c r="I219" s="8" t="n">
        <v>0</v>
      </c>
      <c r="J219" s="9" t="n">
        <f aca="false">IF(E219=0,"",G219/E219*100)</f>
        <v>0.395256916996047</v>
      </c>
      <c r="K219" s="9" t="n">
        <f aca="false">IF(E219=0,"",I219/E219*1000)</f>
        <v>0</v>
      </c>
      <c r="L219" s="8" t="n">
        <v>1</v>
      </c>
    </row>
    <row r="220" customFormat="false" ht="15" hidden="false" customHeight="true" outlineLevel="0" collapsed="false">
      <c r="A220" s="10" t="s">
        <v>22</v>
      </c>
      <c r="B220" s="10" t="s">
        <v>167</v>
      </c>
      <c r="C220" s="8" t="n">
        <v>24</v>
      </c>
      <c r="D220" s="8" t="s">
        <v>342</v>
      </c>
      <c r="E220" s="8" t="n">
        <v>1003</v>
      </c>
      <c r="F220" s="8" t="n">
        <v>51</v>
      </c>
      <c r="G220" s="8" t="n">
        <v>6</v>
      </c>
      <c r="H220" s="8" t="n">
        <v>0</v>
      </c>
      <c r="I220" s="8" t="n">
        <v>0</v>
      </c>
      <c r="J220" s="9" t="n">
        <f aca="false">IF(E220=0,"",G220/E220*100)</f>
        <v>0.598205383848455</v>
      </c>
      <c r="K220" s="9" t="n">
        <f aca="false">IF(E220=0,"",I220/E220*1000)</f>
        <v>0</v>
      </c>
      <c r="L220" s="8" t="n">
        <v>1</v>
      </c>
    </row>
    <row r="221" customFormat="false" ht="15" hidden="false" customHeight="true" outlineLevel="0" collapsed="false">
      <c r="A221" s="10" t="s">
        <v>22</v>
      </c>
      <c r="B221" s="10" t="s">
        <v>167</v>
      </c>
      <c r="C221" s="8" t="n">
        <v>23</v>
      </c>
      <c r="D221" s="8" t="s">
        <v>343</v>
      </c>
      <c r="E221" s="8" t="n">
        <v>932</v>
      </c>
      <c r="F221" s="8" t="n">
        <v>39.7</v>
      </c>
      <c r="G221" s="8" t="n">
        <v>3</v>
      </c>
      <c r="H221" s="8" t="n">
        <v>0</v>
      </c>
      <c r="I221" s="8" t="n">
        <v>1</v>
      </c>
      <c r="J221" s="9" t="n">
        <f aca="false">IF(E221=0,"",G221/E221*100)</f>
        <v>0.321888412017167</v>
      </c>
      <c r="K221" s="9" t="n">
        <f aca="false">IF(E221=0,"",I221/E221*1000)</f>
        <v>1.07296137339056</v>
      </c>
      <c r="L221" s="8" t="n">
        <v>1</v>
      </c>
    </row>
    <row r="222" customFormat="false" ht="15" hidden="false" customHeight="true" outlineLevel="0" collapsed="false">
      <c r="A222" s="10" t="s">
        <v>22</v>
      </c>
      <c r="B222" s="10" t="s">
        <v>171</v>
      </c>
      <c r="C222" s="8" t="n">
        <v>24</v>
      </c>
      <c r="D222" s="8" t="s">
        <v>344</v>
      </c>
      <c r="E222" s="8" t="n">
        <v>319</v>
      </c>
      <c r="F222" s="8" t="n">
        <v>46.2</v>
      </c>
      <c r="G222" s="8" t="n">
        <v>0</v>
      </c>
      <c r="H222" s="8" t="n">
        <v>0</v>
      </c>
      <c r="I222" s="8" t="n">
        <v>0</v>
      </c>
      <c r="J222" s="9" t="n">
        <f aca="false">IF(E222=0,"",G222/E222*100)</f>
        <v>0</v>
      </c>
      <c r="K222" s="9" t="n">
        <f aca="false">IF(E222=0,"",I222/E222*1000)</f>
        <v>0</v>
      </c>
      <c r="L222" s="8" t="n">
        <v>1</v>
      </c>
    </row>
    <row r="223" customFormat="false" ht="15" hidden="false" customHeight="true" outlineLevel="0" collapsed="false">
      <c r="A223" s="10" t="s">
        <v>22</v>
      </c>
      <c r="B223" s="10" t="s">
        <v>171</v>
      </c>
      <c r="C223" s="8" t="n">
        <v>24</v>
      </c>
      <c r="D223" s="8" t="s">
        <v>345</v>
      </c>
      <c r="E223" s="8" t="n">
        <v>449</v>
      </c>
      <c r="F223" s="8" t="n">
        <v>68.2</v>
      </c>
      <c r="G223" s="8" t="n">
        <v>3</v>
      </c>
      <c r="H223" s="8" t="n">
        <v>0</v>
      </c>
      <c r="I223" s="8" t="n">
        <v>0</v>
      </c>
      <c r="J223" s="9" t="n">
        <f aca="false">IF(E223=0,"",G223/E223*100)</f>
        <v>0.66815144766147</v>
      </c>
      <c r="K223" s="9" t="n">
        <f aca="false">IF(E223=0,"",I223/E223*1000)</f>
        <v>0</v>
      </c>
      <c r="L223" s="8" t="n">
        <v>1</v>
      </c>
    </row>
    <row r="224" customFormat="false" ht="15" hidden="false" customHeight="true" outlineLevel="0" collapsed="false">
      <c r="A224" s="10" t="s">
        <v>22</v>
      </c>
      <c r="B224" s="10" t="s">
        <v>174</v>
      </c>
      <c r="C224" s="8" t="n">
        <v>23</v>
      </c>
      <c r="D224" s="8" t="s">
        <v>346</v>
      </c>
      <c r="E224" s="8" t="n">
        <v>248</v>
      </c>
      <c r="F224" s="8" t="n">
        <v>50.9</v>
      </c>
      <c r="G224" s="8" t="n">
        <v>1</v>
      </c>
      <c r="H224" s="8" t="n">
        <v>0</v>
      </c>
      <c r="I224" s="8" t="n">
        <v>0</v>
      </c>
      <c r="J224" s="9" t="n">
        <f aca="false">IF(E224=0,"",G224/E224*100)</f>
        <v>0.403225806451613</v>
      </c>
      <c r="K224" s="9" t="n">
        <f aca="false">IF(E224=0,"",I224/E224*1000)</f>
        <v>0</v>
      </c>
      <c r="L224" s="8" t="n">
        <v>0</v>
      </c>
    </row>
    <row r="225" customFormat="false" ht="15" hidden="false" customHeight="true" outlineLevel="0" collapsed="false">
      <c r="A225" s="10" t="s">
        <v>22</v>
      </c>
      <c r="B225" s="10" t="s">
        <v>174</v>
      </c>
      <c r="C225" s="8" t="n">
        <v>26</v>
      </c>
      <c r="D225" s="10" t="s">
        <v>347</v>
      </c>
      <c r="E225" s="8" t="n">
        <v>1008</v>
      </c>
      <c r="F225" s="8" t="n">
        <v>68.2</v>
      </c>
      <c r="G225" s="8" t="n">
        <v>8</v>
      </c>
      <c r="H225" s="8" t="n">
        <v>0</v>
      </c>
      <c r="I225" s="8" t="n">
        <v>1</v>
      </c>
      <c r="J225" s="9" t="n">
        <f aca="false">IF(E225=0,"",G225/E225*100)</f>
        <v>0.793650793650794</v>
      </c>
      <c r="K225" s="9" t="n">
        <f aca="false">IF(E225=0,"",I225/E225*1000)</f>
        <v>0.992063492063492</v>
      </c>
      <c r="L225" s="8" t="n">
        <v>1</v>
      </c>
    </row>
    <row r="226" customFormat="false" ht="15" hidden="false" customHeight="true" outlineLevel="0" collapsed="false">
      <c r="A226" s="10" t="s">
        <v>22</v>
      </c>
      <c r="B226" s="10" t="s">
        <v>174</v>
      </c>
      <c r="C226" s="8" t="n">
        <v>23</v>
      </c>
      <c r="D226" s="8" t="s">
        <v>348</v>
      </c>
      <c r="E226" s="8" t="n">
        <v>1042</v>
      </c>
      <c r="F226" s="8" t="n">
        <v>43</v>
      </c>
      <c r="G226" s="8" t="n">
        <v>6</v>
      </c>
      <c r="H226" s="8" t="n">
        <v>0</v>
      </c>
      <c r="I226" s="8" t="n">
        <v>1</v>
      </c>
      <c r="J226" s="9" t="n">
        <f aca="false">IF(E226=0,"",G226/E226*100)</f>
        <v>0.575815738963532</v>
      </c>
      <c r="K226" s="9" t="n">
        <f aca="false">IF(E226=0,"",I226/E226*1000)</f>
        <v>0.959692898272553</v>
      </c>
      <c r="L226" s="8" t="n">
        <v>1</v>
      </c>
    </row>
    <row r="227" customFormat="false" ht="15" hidden="false" customHeight="true" outlineLevel="0" collapsed="false">
      <c r="A227" s="10" t="s">
        <v>22</v>
      </c>
      <c r="B227" s="10" t="s">
        <v>178</v>
      </c>
      <c r="C227" s="8" t="n">
        <v>25</v>
      </c>
      <c r="D227" s="8" t="s">
        <v>349</v>
      </c>
      <c r="E227" s="8" t="n">
        <v>352</v>
      </c>
      <c r="F227" s="8" t="n">
        <v>50.6</v>
      </c>
      <c r="G227" s="8" t="n">
        <v>4</v>
      </c>
      <c r="H227" s="8" t="n">
        <v>0</v>
      </c>
      <c r="I227" s="8" t="n">
        <v>1</v>
      </c>
      <c r="J227" s="9" t="n">
        <f aca="false">IF(E227=0,"",G227/E227*100)</f>
        <v>1.13636363636364</v>
      </c>
      <c r="K227" s="9" t="n">
        <f aca="false">IF(E227=0,"",I227/E227*1000)</f>
        <v>2.84090909090909</v>
      </c>
      <c r="L227" s="8" t="n">
        <v>1</v>
      </c>
    </row>
    <row r="228" customFormat="false" ht="15" hidden="false" customHeight="true" outlineLevel="0" collapsed="false">
      <c r="A228" s="10" t="s">
        <v>22</v>
      </c>
      <c r="B228" s="10" t="s">
        <v>178</v>
      </c>
      <c r="C228" s="8" t="n">
        <v>25</v>
      </c>
      <c r="D228" s="8" t="s">
        <v>350</v>
      </c>
      <c r="E228" s="8" t="n">
        <v>47</v>
      </c>
      <c r="F228" s="8" t="n">
        <v>80</v>
      </c>
      <c r="G228" s="8" t="n">
        <v>0</v>
      </c>
      <c r="H228" s="8" t="n">
        <v>0</v>
      </c>
      <c r="I228" s="8" t="n">
        <v>0</v>
      </c>
      <c r="J228" s="9" t="n">
        <f aca="false">IF(E228=0,"",G228/E228*100)</f>
        <v>0</v>
      </c>
      <c r="K228" s="9" t="n">
        <f aca="false">IF(E228=0,"",I228/E228*1000)</f>
        <v>0</v>
      </c>
      <c r="L228" s="8" t="n">
        <v>0</v>
      </c>
    </row>
    <row r="229" customFormat="false" ht="15" hidden="false" customHeight="true" outlineLevel="0" collapsed="false">
      <c r="A229" s="10" t="s">
        <v>22</v>
      </c>
      <c r="B229" s="10" t="s">
        <v>181</v>
      </c>
      <c r="C229" s="8" t="n">
        <v>24</v>
      </c>
      <c r="D229" s="8" t="s">
        <v>351</v>
      </c>
      <c r="E229" s="8" t="n">
        <v>407</v>
      </c>
      <c r="F229" s="8" t="n">
        <v>43.6</v>
      </c>
      <c r="G229" s="8" t="n">
        <v>1</v>
      </c>
      <c r="H229" s="8" t="n">
        <v>0</v>
      </c>
      <c r="I229" s="8" t="n">
        <v>0</v>
      </c>
      <c r="J229" s="9" t="n">
        <f aca="false">IF(E229=0,"",G229/E229*100)</f>
        <v>0.245700245700246</v>
      </c>
      <c r="K229" s="9" t="n">
        <f aca="false">IF(E229=0,"",I229/E229*1000)</f>
        <v>0</v>
      </c>
      <c r="L229" s="8" t="n">
        <v>1</v>
      </c>
    </row>
    <row r="230" customFormat="false" ht="15" hidden="false" customHeight="true" outlineLevel="0" collapsed="false">
      <c r="A230" s="10" t="s">
        <v>22</v>
      </c>
      <c r="B230" s="10" t="s">
        <v>181</v>
      </c>
      <c r="C230" s="8" t="n">
        <v>25</v>
      </c>
      <c r="D230" s="10" t="s">
        <v>352</v>
      </c>
      <c r="E230" s="8" t="n">
        <v>1139</v>
      </c>
      <c r="F230" s="8" t="n">
        <v>53.7</v>
      </c>
      <c r="G230" s="8" t="n">
        <v>8</v>
      </c>
      <c r="H230" s="8" t="n">
        <v>0</v>
      </c>
      <c r="I230" s="8" t="n">
        <v>0</v>
      </c>
      <c r="J230" s="9" t="n">
        <f aca="false">IF(E230=0,"",G230/E230*100)</f>
        <v>0.702370500438982</v>
      </c>
      <c r="K230" s="9" t="n">
        <f aca="false">IF(E230=0,"",I230/E230*1000)</f>
        <v>0</v>
      </c>
      <c r="L230" s="8" t="n">
        <v>1</v>
      </c>
    </row>
    <row r="231" customFormat="false" ht="15" hidden="false" customHeight="true" outlineLevel="0" collapsed="false">
      <c r="A231" s="10" t="s">
        <v>22</v>
      </c>
      <c r="B231" s="10" t="s">
        <v>181</v>
      </c>
      <c r="C231" s="8" t="n">
        <v>25</v>
      </c>
      <c r="D231" s="8" t="s">
        <v>353</v>
      </c>
      <c r="E231" s="8" t="n">
        <v>339</v>
      </c>
      <c r="F231" s="8" t="n">
        <v>61.6</v>
      </c>
      <c r="G231" s="8" t="n">
        <v>2</v>
      </c>
      <c r="H231" s="8" t="n">
        <v>0</v>
      </c>
      <c r="I231" s="8" t="n">
        <v>0</v>
      </c>
      <c r="J231" s="9" t="n">
        <f aca="false">IF(E231=0,"",G231/E231*100)</f>
        <v>0.589970501474926</v>
      </c>
      <c r="K231" s="9" t="n">
        <f aca="false">IF(E231=0,"",I231/E231*1000)</f>
        <v>0</v>
      </c>
      <c r="L231" s="8" t="n">
        <v>1</v>
      </c>
    </row>
    <row r="232" customFormat="false" ht="15" hidden="false" customHeight="true" outlineLevel="0" collapsed="false">
      <c r="A232" s="10" t="s">
        <v>22</v>
      </c>
      <c r="B232" s="10" t="s">
        <v>185</v>
      </c>
      <c r="C232" s="8" t="n">
        <v>27</v>
      </c>
      <c r="D232" s="8" t="s">
        <v>354</v>
      </c>
      <c r="E232" s="8" t="n">
        <v>1109</v>
      </c>
      <c r="F232" s="8" t="n">
        <v>51.1</v>
      </c>
      <c r="G232" s="8" t="n">
        <v>4</v>
      </c>
      <c r="H232" s="8" t="n">
        <v>0</v>
      </c>
      <c r="I232" s="8" t="n">
        <v>0</v>
      </c>
      <c r="J232" s="9" t="n">
        <f aca="false">IF(E232=0,"",G232/E232*100)</f>
        <v>0.36068530207394</v>
      </c>
      <c r="K232" s="9" t="n">
        <f aca="false">IF(E232=0,"",I232/E232*1000)</f>
        <v>0</v>
      </c>
      <c r="L232" s="8" t="n">
        <v>1</v>
      </c>
    </row>
    <row r="233" customFormat="false" ht="15" hidden="false" customHeight="true" outlineLevel="0" collapsed="false">
      <c r="A233" s="10" t="s">
        <v>22</v>
      </c>
      <c r="B233" s="10" t="s">
        <v>185</v>
      </c>
      <c r="C233" s="8" t="n">
        <v>25</v>
      </c>
      <c r="D233" s="8" t="s">
        <v>355</v>
      </c>
      <c r="E233" s="8" t="n">
        <v>1067</v>
      </c>
      <c r="F233" s="8" t="n">
        <v>49.5</v>
      </c>
      <c r="G233" s="8" t="n">
        <v>7</v>
      </c>
      <c r="H233" s="8" t="n">
        <v>0</v>
      </c>
      <c r="I233" s="8" t="n">
        <v>1</v>
      </c>
      <c r="J233" s="9" t="n">
        <f aca="false">IF(E233=0,"",G233/E233*100)</f>
        <v>0.656044985941893</v>
      </c>
      <c r="K233" s="9" t="n">
        <f aca="false">IF(E233=0,"",I233/E233*1000)</f>
        <v>0.937207122774133</v>
      </c>
      <c r="L233" s="8" t="n">
        <v>1</v>
      </c>
    </row>
    <row r="234" customFormat="false" ht="15" hidden="false" customHeight="true" outlineLevel="0" collapsed="false">
      <c r="A234" s="10" t="s">
        <v>22</v>
      </c>
      <c r="B234" s="10" t="s">
        <v>185</v>
      </c>
      <c r="C234" s="8" t="n">
        <v>26</v>
      </c>
      <c r="D234" s="8" t="s">
        <v>356</v>
      </c>
      <c r="E234" s="8" t="n">
        <v>775</v>
      </c>
      <c r="F234" s="8" t="n">
        <v>51.1</v>
      </c>
      <c r="G234" s="8" t="n">
        <v>2</v>
      </c>
      <c r="H234" s="8" t="n">
        <v>0</v>
      </c>
      <c r="I234" s="8" t="n">
        <v>0</v>
      </c>
      <c r="J234" s="9" t="n">
        <f aca="false">IF(E234=0,"",G234/E234*100)</f>
        <v>0.258064516129032</v>
      </c>
      <c r="K234" s="9" t="n">
        <f aca="false">IF(E234=0,"",I234/E234*1000)</f>
        <v>0</v>
      </c>
      <c r="L234" s="8" t="n">
        <v>1</v>
      </c>
    </row>
    <row r="235" customFormat="false" ht="15" hidden="false" customHeight="true" outlineLevel="0" collapsed="false">
      <c r="A235" s="10" t="s">
        <v>22</v>
      </c>
      <c r="B235" s="10" t="s">
        <v>189</v>
      </c>
      <c r="C235" s="8" t="n">
        <v>28</v>
      </c>
      <c r="D235" s="8" t="s">
        <v>357</v>
      </c>
      <c r="E235" s="8" t="n">
        <v>1414</v>
      </c>
      <c r="F235" s="8" t="n">
        <v>65.8</v>
      </c>
      <c r="G235" s="8" t="n">
        <v>7</v>
      </c>
      <c r="H235" s="8" t="n">
        <v>1</v>
      </c>
      <c r="I235" s="8" t="n">
        <v>2</v>
      </c>
      <c r="J235" s="9" t="n">
        <f aca="false">IF(E235=0,"",G235/E235*100)</f>
        <v>0.495049504950495</v>
      </c>
      <c r="K235" s="9" t="n">
        <f aca="false">IF(E235=0,"",I235/E235*1000)</f>
        <v>1.41442715700141</v>
      </c>
      <c r="L235" s="8" t="n">
        <v>1</v>
      </c>
    </row>
    <row r="236" customFormat="false" ht="15" hidden="false" customHeight="true" outlineLevel="0" collapsed="false">
      <c r="A236" s="10" t="s">
        <v>22</v>
      </c>
      <c r="B236" s="10" t="s">
        <v>189</v>
      </c>
      <c r="C236" s="8" t="n">
        <v>28</v>
      </c>
      <c r="D236" s="10" t="s">
        <v>358</v>
      </c>
      <c r="E236" s="8" t="n">
        <v>1000</v>
      </c>
      <c r="F236" s="8" t="n">
        <v>48.8</v>
      </c>
      <c r="G236" s="8" t="n">
        <v>4</v>
      </c>
      <c r="H236" s="8" t="n">
        <v>1</v>
      </c>
      <c r="I236" s="8" t="n">
        <v>2</v>
      </c>
      <c r="J236" s="9" t="n">
        <f aca="false">IF(E236=0,"",G236/E236*100)</f>
        <v>0.4</v>
      </c>
      <c r="K236" s="9" t="n">
        <f aca="false">IF(E236=0,"",I236/E236*1000)</f>
        <v>2</v>
      </c>
      <c r="L236" s="8" t="n">
        <v>1</v>
      </c>
    </row>
    <row r="237" customFormat="false" ht="15" hidden="false" customHeight="true" outlineLevel="0" collapsed="false">
      <c r="A237" s="10" t="s">
        <v>22</v>
      </c>
      <c r="B237" s="10" t="s">
        <v>189</v>
      </c>
      <c r="C237" s="8" t="n">
        <v>27</v>
      </c>
      <c r="D237" s="8" t="s">
        <v>359</v>
      </c>
      <c r="E237" s="8" t="n">
        <v>1056</v>
      </c>
      <c r="F237" s="8" t="n">
        <v>53.7</v>
      </c>
      <c r="G237" s="8" t="n">
        <v>10</v>
      </c>
      <c r="H237" s="8" t="n">
        <v>0</v>
      </c>
      <c r="I237" s="8" t="n">
        <v>1</v>
      </c>
      <c r="J237" s="9" t="n">
        <f aca="false">IF(E237=0,"",G237/E237*100)</f>
        <v>0.946969696969697</v>
      </c>
      <c r="K237" s="9" t="n">
        <f aca="false">IF(E237=0,"",I237/E237*1000)</f>
        <v>0.946969696969697</v>
      </c>
      <c r="L237" s="8" t="n">
        <v>1</v>
      </c>
    </row>
    <row r="238" customFormat="false" ht="15" hidden="false" customHeight="true" outlineLevel="0" collapsed="false">
      <c r="A238" s="10" t="s">
        <v>22</v>
      </c>
      <c r="B238" s="10" t="s">
        <v>193</v>
      </c>
      <c r="C238" s="8" t="n">
        <v>27</v>
      </c>
      <c r="D238" s="8" t="s">
        <v>360</v>
      </c>
      <c r="E238" s="8" t="n">
        <v>854</v>
      </c>
      <c r="F238" s="8" t="n">
        <v>36.6</v>
      </c>
      <c r="G238" s="8" t="n">
        <v>4</v>
      </c>
      <c r="H238" s="8" t="n">
        <v>0</v>
      </c>
      <c r="I238" s="8" t="n">
        <v>0</v>
      </c>
      <c r="J238" s="9" t="n">
        <f aca="false">IF(E238=0,"",G238/E238*100)</f>
        <v>0.468384074941452</v>
      </c>
      <c r="K238" s="9" t="n">
        <f aca="false">IF(E238=0,"",I238/E238*1000)</f>
        <v>0</v>
      </c>
      <c r="L238" s="8" t="n">
        <v>1</v>
      </c>
    </row>
    <row r="239" customFormat="false" ht="15" hidden="false" customHeight="true" outlineLevel="0" collapsed="false">
      <c r="A239" s="10" t="s">
        <v>22</v>
      </c>
      <c r="B239" s="10" t="s">
        <v>193</v>
      </c>
      <c r="C239" s="8" t="n">
        <v>31</v>
      </c>
      <c r="D239" s="8" t="s">
        <v>361</v>
      </c>
      <c r="E239" s="8" t="n">
        <v>9</v>
      </c>
      <c r="F239" s="8" t="n">
        <v>39.9</v>
      </c>
      <c r="G239" s="8" t="n">
        <v>0</v>
      </c>
      <c r="H239" s="8" t="n">
        <v>0</v>
      </c>
      <c r="I239" s="8" t="n">
        <v>0</v>
      </c>
      <c r="J239" s="9" t="n">
        <f aca="false">IF(E239=0,"",G239/E239*100)</f>
        <v>0</v>
      </c>
      <c r="K239" s="9" t="n">
        <f aca="false">IF(E239=0,"",I239/E239*1000)</f>
        <v>0</v>
      </c>
      <c r="L239" s="8" t="n">
        <v>0</v>
      </c>
    </row>
    <row r="240" customFormat="false" ht="15" hidden="false" customHeight="true" outlineLevel="0" collapsed="false">
      <c r="A240" s="10" t="s">
        <v>22</v>
      </c>
      <c r="B240" s="10" t="s">
        <v>193</v>
      </c>
      <c r="C240" s="8" t="n">
        <v>30</v>
      </c>
      <c r="D240" s="8" t="s">
        <v>362</v>
      </c>
      <c r="E240" s="8" t="n">
        <v>39</v>
      </c>
      <c r="F240" s="8" t="n">
        <v>37.1</v>
      </c>
      <c r="G240" s="8" t="n">
        <v>0</v>
      </c>
      <c r="H240" s="8" t="n">
        <v>0</v>
      </c>
      <c r="I240" s="8" t="n">
        <v>0</v>
      </c>
      <c r="J240" s="9" t="n">
        <f aca="false">IF(E240=0,"",G240/E240*100)</f>
        <v>0</v>
      </c>
      <c r="K240" s="9" t="n">
        <f aca="false">IF(E240=0,"",I240/E240*1000)</f>
        <v>0</v>
      </c>
      <c r="L240" s="8" t="n">
        <v>0</v>
      </c>
    </row>
    <row r="241" customFormat="false" ht="15" hidden="false" customHeight="true" outlineLevel="0" collapsed="false">
      <c r="A241" s="10" t="s">
        <v>22</v>
      </c>
      <c r="B241" s="10" t="s">
        <v>197</v>
      </c>
      <c r="C241" s="8" t="n">
        <v>30</v>
      </c>
      <c r="D241" s="8" t="s">
        <v>363</v>
      </c>
      <c r="E241" s="8" t="n">
        <v>25</v>
      </c>
      <c r="F241" s="8" t="n">
        <v>40.2</v>
      </c>
      <c r="G241" s="8" t="n">
        <v>0</v>
      </c>
      <c r="H241" s="8" t="n">
        <v>0</v>
      </c>
      <c r="I241" s="8" t="n">
        <v>0</v>
      </c>
      <c r="J241" s="9" t="n">
        <f aca="false">IF(E241=0,"",G241/E241*100)</f>
        <v>0</v>
      </c>
      <c r="K241" s="9" t="n">
        <f aca="false">IF(E241=0,"",I241/E241*1000)</f>
        <v>0</v>
      </c>
      <c r="L241" s="8" t="n">
        <v>0</v>
      </c>
    </row>
    <row r="242" customFormat="false" ht="15" hidden="false" customHeight="true" outlineLevel="0" collapsed="false">
      <c r="A242" s="10" t="s">
        <v>22</v>
      </c>
      <c r="B242" s="10" t="s">
        <v>197</v>
      </c>
      <c r="C242" s="8" t="n">
        <v>30</v>
      </c>
      <c r="D242" s="8" t="s">
        <v>364</v>
      </c>
      <c r="E242" s="8" t="n">
        <v>72</v>
      </c>
      <c r="F242" s="8" t="n">
        <v>55</v>
      </c>
      <c r="G242" s="8" t="n">
        <v>0</v>
      </c>
      <c r="H242" s="8" t="n">
        <v>0</v>
      </c>
      <c r="I242" s="8" t="n">
        <v>0</v>
      </c>
      <c r="J242" s="9" t="n">
        <f aca="false">IF(E242=0,"",G242/E242*100)</f>
        <v>0</v>
      </c>
      <c r="K242" s="9" t="n">
        <f aca="false">IF(E242=0,"",I242/E242*1000)</f>
        <v>0</v>
      </c>
      <c r="L242" s="8" t="n">
        <v>0</v>
      </c>
    </row>
    <row r="243" customFormat="false" ht="15" hidden="false" customHeight="true" outlineLevel="0" collapsed="false">
      <c r="A243" s="10" t="s">
        <v>22</v>
      </c>
      <c r="B243" s="10" t="s">
        <v>197</v>
      </c>
      <c r="C243" s="8" t="n">
        <v>30</v>
      </c>
      <c r="D243" s="8" t="s">
        <v>365</v>
      </c>
      <c r="E243" s="8" t="n">
        <v>713</v>
      </c>
      <c r="F243" s="8" t="n">
        <v>59.4</v>
      </c>
      <c r="G243" s="8" t="n">
        <v>9</v>
      </c>
      <c r="H243" s="8" t="n">
        <v>1</v>
      </c>
      <c r="I243" s="8" t="n">
        <v>3</v>
      </c>
      <c r="J243" s="9" t="n">
        <f aca="false">IF(E243=0,"",G243/E243*100)</f>
        <v>1.26227208976157</v>
      </c>
      <c r="K243" s="9" t="n">
        <f aca="false">IF(E243=0,"",I243/E243*1000)</f>
        <v>4.20757363253857</v>
      </c>
      <c r="L243" s="8" t="n">
        <v>1</v>
      </c>
    </row>
    <row r="244" customFormat="false" ht="15" hidden="false" customHeight="true" outlineLevel="0" collapsed="false">
      <c r="A244" s="10" t="s">
        <v>22</v>
      </c>
      <c r="B244" s="10" t="s">
        <v>202</v>
      </c>
      <c r="C244" s="8" t="n">
        <v>32</v>
      </c>
      <c r="D244" s="8" t="s">
        <v>366</v>
      </c>
      <c r="E244" s="8" t="n">
        <v>15</v>
      </c>
      <c r="F244" s="8" t="n">
        <v>79.3</v>
      </c>
      <c r="G244" s="8" t="n">
        <v>-1</v>
      </c>
      <c r="H244" s="8" t="n">
        <v>0</v>
      </c>
      <c r="I244" s="8" t="n">
        <v>0</v>
      </c>
      <c r="J244" s="9" t="n">
        <f aca="false">IF(E244=0,"",G244/E244*100)</f>
        <v>-6.66666666666667</v>
      </c>
      <c r="K244" s="9" t="n">
        <f aca="false">IF(E244=0,"",I244/E244*1000)</f>
        <v>0</v>
      </c>
      <c r="L244" s="8" t="n">
        <v>0</v>
      </c>
    </row>
    <row r="245" customFormat="false" ht="15" hidden="false" customHeight="true" outlineLevel="0" collapsed="false">
      <c r="A245" s="10" t="s">
        <v>22</v>
      </c>
      <c r="B245" s="10" t="s">
        <v>202</v>
      </c>
      <c r="C245" s="8" t="n">
        <v>32</v>
      </c>
      <c r="D245" s="8" t="s">
        <v>367</v>
      </c>
      <c r="E245" s="8" t="n">
        <v>27</v>
      </c>
      <c r="F245" s="8" t="n">
        <v>57.9</v>
      </c>
      <c r="G245" s="8" t="n">
        <v>1</v>
      </c>
      <c r="H245" s="8" t="n">
        <v>0</v>
      </c>
      <c r="I245" s="8" t="n">
        <v>0</v>
      </c>
      <c r="J245" s="9" t="n">
        <f aca="false">IF(E245=0,"",G245/E245*100)</f>
        <v>3.7037037037037</v>
      </c>
      <c r="K245" s="9" t="n">
        <f aca="false">IF(E245=0,"",I245/E245*1000)</f>
        <v>0</v>
      </c>
      <c r="L245" s="8" t="n">
        <v>0</v>
      </c>
    </row>
    <row r="246" customFormat="false" ht="15" hidden="false" customHeight="true" outlineLevel="0" collapsed="false">
      <c r="A246" s="10" t="s">
        <v>22</v>
      </c>
      <c r="B246" s="10" t="s">
        <v>205</v>
      </c>
      <c r="C246" s="8" t="n">
        <v>30</v>
      </c>
      <c r="D246" s="8" t="s">
        <v>368</v>
      </c>
      <c r="E246" s="8" t="n">
        <v>62</v>
      </c>
      <c r="F246" s="8" t="n">
        <v>34.7</v>
      </c>
      <c r="G246" s="8" t="n">
        <v>0</v>
      </c>
      <c r="H246" s="8" t="n">
        <v>0</v>
      </c>
      <c r="I246" s="8" t="n">
        <v>1</v>
      </c>
      <c r="J246" s="9" t="n">
        <f aca="false">IF(E246=0,"",G246/E246*100)</f>
        <v>0</v>
      </c>
      <c r="K246" s="9" t="n">
        <f aca="false">IF(E246=0,"",I246/E246*1000)</f>
        <v>16.1290322580645</v>
      </c>
      <c r="L246" s="8" t="n">
        <v>0</v>
      </c>
    </row>
    <row r="247" customFormat="false" ht="15" hidden="false" customHeight="true" outlineLevel="0" collapsed="false">
      <c r="A247" s="10" t="s">
        <v>22</v>
      </c>
      <c r="B247" s="10" t="s">
        <v>205</v>
      </c>
      <c r="C247" s="8" t="n">
        <v>30</v>
      </c>
      <c r="D247" s="8" t="s">
        <v>369</v>
      </c>
      <c r="E247" s="8" t="n">
        <v>206</v>
      </c>
      <c r="F247" s="8" t="n">
        <v>53.9</v>
      </c>
      <c r="G247" s="8" t="n">
        <v>0</v>
      </c>
      <c r="H247" s="8" t="n">
        <v>0</v>
      </c>
      <c r="I247" s="8" t="n">
        <v>0</v>
      </c>
      <c r="J247" s="9" t="n">
        <f aca="false">IF(E247=0,"",G247/E247*100)</f>
        <v>0</v>
      </c>
      <c r="K247" s="9" t="n">
        <f aca="false">IF(E247=0,"",I247/E247*1000)</f>
        <v>0</v>
      </c>
      <c r="L247" s="8" t="n">
        <v>0</v>
      </c>
    </row>
    <row r="248" customFormat="false" ht="15" hidden="false" customHeight="true" outlineLevel="0" collapsed="false">
      <c r="A248" s="10" t="s">
        <v>22</v>
      </c>
      <c r="B248" s="10" t="s">
        <v>205</v>
      </c>
      <c r="C248" s="8" t="n">
        <v>31</v>
      </c>
      <c r="D248" s="8" t="s">
        <v>370</v>
      </c>
      <c r="E248" s="8" t="n">
        <v>36</v>
      </c>
      <c r="F248" s="8" t="n">
        <v>84.9</v>
      </c>
      <c r="G248" s="8" t="n">
        <v>0</v>
      </c>
      <c r="H248" s="8" t="n">
        <v>0</v>
      </c>
      <c r="I248" s="8" t="n">
        <v>0</v>
      </c>
      <c r="J248" s="9" t="n">
        <f aca="false">IF(E248=0,"",G248/E248*100)</f>
        <v>0</v>
      </c>
      <c r="K248" s="9" t="n">
        <f aca="false">IF(E248=0,"",I248/E248*1000)</f>
        <v>0</v>
      </c>
      <c r="L248" s="8" t="n">
        <v>0</v>
      </c>
    </row>
    <row r="249" customFormat="false" ht="15" hidden="false" customHeight="true" outlineLevel="0" collapsed="false">
      <c r="A249" s="10" t="s">
        <v>22</v>
      </c>
      <c r="B249" s="10" t="s">
        <v>209</v>
      </c>
      <c r="C249" s="8" t="n">
        <v>30</v>
      </c>
      <c r="D249" s="8" t="s">
        <v>371</v>
      </c>
      <c r="E249" s="8" t="n">
        <v>36</v>
      </c>
      <c r="F249" s="8" t="n">
        <v>67.8</v>
      </c>
      <c r="G249" s="8" t="n">
        <v>1</v>
      </c>
      <c r="H249" s="8" t="n">
        <v>0</v>
      </c>
      <c r="I249" s="8" t="n">
        <v>0</v>
      </c>
      <c r="J249" s="9" t="n">
        <f aca="false">IF(E249=0,"",G249/E249*100)</f>
        <v>2.77777777777778</v>
      </c>
      <c r="K249" s="9" t="n">
        <f aca="false">IF(E249=0,"",I249/E249*1000)</f>
        <v>0</v>
      </c>
      <c r="L249" s="8" t="n">
        <v>0</v>
      </c>
    </row>
    <row r="250" customFormat="false" ht="15" hidden="false" customHeight="true" outlineLevel="0" collapsed="false">
      <c r="A250" s="10" t="s">
        <v>22</v>
      </c>
      <c r="B250" s="10" t="s">
        <v>209</v>
      </c>
      <c r="C250" s="8" t="n">
        <v>30</v>
      </c>
      <c r="D250" s="8" t="s">
        <v>372</v>
      </c>
      <c r="E250" s="8" t="n">
        <v>835</v>
      </c>
      <c r="F250" s="8" t="n">
        <v>59.5</v>
      </c>
      <c r="G250" s="8" t="n">
        <v>6</v>
      </c>
      <c r="H250" s="8" t="n">
        <v>0</v>
      </c>
      <c r="I250" s="8" t="n">
        <v>2</v>
      </c>
      <c r="J250" s="9" t="n">
        <f aca="false">IF(E250=0,"",G250/E250*100)</f>
        <v>0.718562874251497</v>
      </c>
      <c r="K250" s="9" t="n">
        <f aca="false">IF(E250=0,"",I250/E250*1000)</f>
        <v>2.39520958083832</v>
      </c>
      <c r="L250" s="8" t="n">
        <v>1</v>
      </c>
    </row>
    <row r="251" customFormat="false" ht="15" hidden="false" customHeight="true" outlineLevel="0" collapsed="false">
      <c r="A251" s="10" t="s">
        <v>22</v>
      </c>
      <c r="B251" s="10" t="s">
        <v>209</v>
      </c>
      <c r="C251" s="8" t="n">
        <v>30</v>
      </c>
      <c r="D251" s="8" t="s">
        <v>373</v>
      </c>
      <c r="E251" s="8" t="n">
        <v>42</v>
      </c>
      <c r="F251" s="8" t="n">
        <v>51.3</v>
      </c>
      <c r="G251" s="8" t="n">
        <v>2</v>
      </c>
      <c r="H251" s="8" t="n">
        <v>0</v>
      </c>
      <c r="I251" s="8" t="n">
        <v>0</v>
      </c>
      <c r="J251" s="9" t="n">
        <f aca="false">IF(E251=0,"",G251/E251*100)</f>
        <v>4.76190476190476</v>
      </c>
      <c r="K251" s="9" t="n">
        <f aca="false">IF(E251=0,"",I251/E251*1000)</f>
        <v>0</v>
      </c>
      <c r="L251" s="8" t="n">
        <v>0</v>
      </c>
    </row>
    <row r="252" customFormat="false" ht="15" hidden="false" customHeight="true" outlineLevel="0" collapsed="false">
      <c r="A252" s="10" t="s">
        <v>22</v>
      </c>
      <c r="B252" s="10" t="s">
        <v>213</v>
      </c>
      <c r="C252" s="8" t="n">
        <v>29</v>
      </c>
      <c r="D252" s="10" t="s">
        <v>374</v>
      </c>
      <c r="E252" s="8" t="n">
        <v>492</v>
      </c>
      <c r="F252" s="8" t="n">
        <v>39.2</v>
      </c>
      <c r="G252" s="8" t="n">
        <v>2</v>
      </c>
      <c r="H252" s="8" t="n">
        <v>0</v>
      </c>
      <c r="I252" s="8" t="n">
        <v>0</v>
      </c>
      <c r="J252" s="9" t="n">
        <f aca="false">IF(E252=0,"",G252/E252*100)</f>
        <v>0.40650406504065</v>
      </c>
      <c r="K252" s="9" t="n">
        <f aca="false">IF(E252=0,"",I252/E252*1000)</f>
        <v>0</v>
      </c>
      <c r="L252" s="8" t="n">
        <v>1</v>
      </c>
    </row>
    <row r="253" customFormat="false" ht="15" hidden="false" customHeight="true" outlineLevel="0" collapsed="false">
      <c r="A253" s="10" t="s">
        <v>22</v>
      </c>
      <c r="B253" s="10" t="s">
        <v>213</v>
      </c>
      <c r="C253" s="8" t="n">
        <v>29</v>
      </c>
      <c r="D253" s="8" t="s">
        <v>375</v>
      </c>
      <c r="E253" s="8" t="n">
        <v>1035</v>
      </c>
      <c r="F253" s="8" t="n">
        <v>56</v>
      </c>
      <c r="G253" s="8" t="n">
        <v>3</v>
      </c>
      <c r="H253" s="8" t="n">
        <v>0</v>
      </c>
      <c r="I253" s="8" t="n">
        <v>0</v>
      </c>
      <c r="J253" s="9" t="n">
        <f aca="false">IF(E253=0,"",G253/E253*100)</f>
        <v>0.289855072463768</v>
      </c>
      <c r="K253" s="9" t="n">
        <f aca="false">IF(E253=0,"",I253/E253*1000)</f>
        <v>0</v>
      </c>
      <c r="L253" s="8" t="n">
        <v>1</v>
      </c>
    </row>
    <row r="254" customFormat="false" ht="15" hidden="false" customHeight="true" outlineLevel="0" collapsed="false">
      <c r="A254" s="10" t="s">
        <v>22</v>
      </c>
      <c r="B254" s="10" t="s">
        <v>213</v>
      </c>
      <c r="C254" s="8" t="n">
        <v>29</v>
      </c>
      <c r="D254" s="8" t="s">
        <v>376</v>
      </c>
      <c r="E254" s="8" t="n">
        <v>1083</v>
      </c>
      <c r="F254" s="8" t="n">
        <v>42.9</v>
      </c>
      <c r="G254" s="8" t="n">
        <v>4</v>
      </c>
      <c r="H254" s="8" t="n">
        <v>1</v>
      </c>
      <c r="I254" s="8" t="n">
        <v>0</v>
      </c>
      <c r="J254" s="9" t="n">
        <f aca="false">IF(E254=0,"",G254/E254*100)</f>
        <v>0.369344413665743</v>
      </c>
      <c r="K254" s="9" t="n">
        <f aca="false">IF(E254=0,"",I254/E254*1000)</f>
        <v>0</v>
      </c>
      <c r="L254" s="8" t="n">
        <v>1</v>
      </c>
    </row>
    <row r="255" customFormat="false" ht="15" hidden="false" customHeight="true" outlineLevel="0" collapsed="false">
      <c r="A255" s="10" t="s">
        <v>22</v>
      </c>
      <c r="B255" s="10" t="s">
        <v>217</v>
      </c>
      <c r="C255" s="8" t="n">
        <v>28</v>
      </c>
      <c r="D255" s="8" t="s">
        <v>377</v>
      </c>
      <c r="E255" s="8" t="n">
        <v>1007</v>
      </c>
      <c r="F255" s="8" t="n">
        <v>49.7</v>
      </c>
      <c r="G255" s="8" t="n">
        <v>2</v>
      </c>
      <c r="H255" s="8" t="n">
        <v>0</v>
      </c>
      <c r="I255" s="8" t="n">
        <v>0</v>
      </c>
      <c r="J255" s="9" t="n">
        <f aca="false">IF(E255=0,"",G255/E255*100)</f>
        <v>0.198609731876862</v>
      </c>
      <c r="K255" s="9" t="n">
        <f aca="false">IF(E255=0,"",I255/E255*1000)</f>
        <v>0</v>
      </c>
      <c r="L255" s="8" t="n">
        <v>1</v>
      </c>
    </row>
    <row r="256" customFormat="false" ht="15" hidden="false" customHeight="true" outlineLevel="0" collapsed="false">
      <c r="A256" s="10" t="s">
        <v>22</v>
      </c>
      <c r="B256" s="10" t="s">
        <v>217</v>
      </c>
      <c r="C256" s="8" t="n">
        <v>28</v>
      </c>
      <c r="D256" s="8" t="s">
        <v>378</v>
      </c>
      <c r="E256" s="8" t="n">
        <v>849</v>
      </c>
      <c r="F256" s="8" t="n">
        <v>63.3</v>
      </c>
      <c r="G256" s="8" t="n">
        <v>4</v>
      </c>
      <c r="H256" s="8" t="n">
        <v>0</v>
      </c>
      <c r="I256" s="8" t="n">
        <v>1</v>
      </c>
      <c r="J256" s="9" t="n">
        <f aca="false">IF(E256=0,"",G256/E256*100)</f>
        <v>0.471142520612485</v>
      </c>
      <c r="K256" s="9" t="n">
        <f aca="false">IF(E256=0,"",I256/E256*1000)</f>
        <v>1.17785630153121</v>
      </c>
      <c r="L256" s="8" t="n">
        <v>1</v>
      </c>
    </row>
    <row r="257" customFormat="false" ht="15" hidden="false" customHeight="true" outlineLevel="0" collapsed="false">
      <c r="A257" s="10" t="s">
        <v>22</v>
      </c>
      <c r="B257" s="10" t="s">
        <v>217</v>
      </c>
      <c r="C257" s="8" t="n">
        <v>28</v>
      </c>
      <c r="D257" s="8" t="s">
        <v>379</v>
      </c>
      <c r="E257" s="8" t="n">
        <v>948</v>
      </c>
      <c r="F257" s="8" t="n">
        <v>48.8</v>
      </c>
      <c r="G257" s="8" t="n">
        <v>1</v>
      </c>
      <c r="H257" s="8" t="n">
        <v>1</v>
      </c>
      <c r="I257" s="8" t="n">
        <v>1</v>
      </c>
      <c r="J257" s="9" t="n">
        <f aca="false">IF(E257=0,"",G257/E257*100)</f>
        <v>0.105485232067511</v>
      </c>
      <c r="K257" s="9" t="n">
        <f aca="false">IF(E257=0,"",I257/E257*1000)</f>
        <v>1.05485232067511</v>
      </c>
      <c r="L257" s="8" t="n">
        <v>1</v>
      </c>
    </row>
    <row r="258" customFormat="false" ht="15" hidden="false" customHeight="true" outlineLevel="0" collapsed="false">
      <c r="A258" s="10" t="s">
        <v>22</v>
      </c>
      <c r="B258" s="10" t="s">
        <v>380</v>
      </c>
      <c r="C258" s="8" t="n">
        <v>27</v>
      </c>
      <c r="D258" s="10" t="s">
        <v>381</v>
      </c>
      <c r="E258" s="8" t="n">
        <v>325</v>
      </c>
      <c r="F258" s="8" t="n">
        <v>60.8</v>
      </c>
      <c r="G258" s="8" t="n">
        <v>0</v>
      </c>
      <c r="H258" s="8" t="n">
        <v>0</v>
      </c>
      <c r="I258" s="8" t="n">
        <v>1</v>
      </c>
      <c r="J258" s="9" t="n">
        <f aca="false">IF(E258=0,"",G258/E258*100)</f>
        <v>0</v>
      </c>
      <c r="K258" s="9" t="n">
        <f aca="false">IF(E258=0,"",I258/E258*1000)</f>
        <v>3.07692307692308</v>
      </c>
      <c r="L258" s="8" t="n">
        <v>1</v>
      </c>
    </row>
    <row r="259" customFormat="false" ht="15" hidden="false" customHeight="true" outlineLevel="0" collapsed="false">
      <c r="A259" s="10" t="s">
        <v>22</v>
      </c>
      <c r="B259" s="10" t="s">
        <v>221</v>
      </c>
      <c r="C259" s="8" t="n">
        <v>26</v>
      </c>
      <c r="D259" s="8" t="s">
        <v>382</v>
      </c>
      <c r="E259" s="8" t="n">
        <v>1022</v>
      </c>
      <c r="F259" s="8" t="n">
        <v>61.1</v>
      </c>
      <c r="G259" s="8" t="n">
        <v>10</v>
      </c>
      <c r="H259" s="8" t="n">
        <v>0</v>
      </c>
      <c r="I259" s="8" t="n">
        <v>3</v>
      </c>
      <c r="J259" s="9" t="n">
        <f aca="false">IF(E259=0,"",G259/E259*100)</f>
        <v>0.978473581213307</v>
      </c>
      <c r="K259" s="9" t="n">
        <f aca="false">IF(E259=0,"",I259/E259*1000)</f>
        <v>2.93542074363992</v>
      </c>
      <c r="L259" s="8" t="n">
        <v>1</v>
      </c>
    </row>
    <row r="260" customFormat="false" ht="15" hidden="false" customHeight="true" outlineLevel="0" collapsed="false">
      <c r="A260" s="10" t="s">
        <v>22</v>
      </c>
      <c r="B260" s="10" t="s">
        <v>221</v>
      </c>
      <c r="C260" s="8" t="n">
        <v>26</v>
      </c>
      <c r="D260" s="8" t="s">
        <v>383</v>
      </c>
      <c r="E260" s="8" t="n">
        <v>38</v>
      </c>
      <c r="F260" s="8" t="n">
        <v>11.4</v>
      </c>
      <c r="G260" s="8" t="n">
        <v>2</v>
      </c>
      <c r="H260" s="8" t="n">
        <v>0</v>
      </c>
      <c r="I260" s="8" t="n">
        <v>0</v>
      </c>
      <c r="J260" s="9" t="n">
        <f aca="false">IF(E260=0,"",G260/E260*100)</f>
        <v>5.26315789473684</v>
      </c>
      <c r="K260" s="9" t="n">
        <f aca="false">IF(E260=0,"",I260/E260*1000)</f>
        <v>0</v>
      </c>
      <c r="L260" s="8" t="n">
        <v>0</v>
      </c>
    </row>
    <row r="261" customFormat="false" ht="15" hidden="false" customHeight="true" outlineLevel="0" collapsed="false">
      <c r="A261" s="10" t="s">
        <v>22</v>
      </c>
      <c r="B261" s="10" t="s">
        <v>223</v>
      </c>
      <c r="C261" s="8" t="n">
        <v>25</v>
      </c>
      <c r="D261" s="8" t="s">
        <v>384</v>
      </c>
      <c r="E261" s="8" t="n">
        <v>1111</v>
      </c>
      <c r="F261" s="8" t="n">
        <v>36.6</v>
      </c>
      <c r="G261" s="8" t="n">
        <v>3</v>
      </c>
      <c r="H261" s="8" t="n">
        <v>0</v>
      </c>
      <c r="I261" s="8" t="n">
        <v>2</v>
      </c>
      <c r="J261" s="9" t="n">
        <f aca="false">IF(E261=0,"",G261/E261*100)</f>
        <v>0.27002700270027</v>
      </c>
      <c r="K261" s="9" t="n">
        <f aca="false">IF(E261=0,"",I261/E261*1000)</f>
        <v>1.8001800180018</v>
      </c>
      <c r="L261" s="8" t="n">
        <v>1</v>
      </c>
    </row>
    <row r="262" customFormat="false" ht="15" hidden="false" customHeight="true" outlineLevel="0" collapsed="false">
      <c r="A262" s="10" t="s">
        <v>22</v>
      </c>
      <c r="B262" s="10" t="s">
        <v>225</v>
      </c>
      <c r="C262" s="8" t="n">
        <v>23</v>
      </c>
      <c r="D262" s="10" t="s">
        <v>385</v>
      </c>
      <c r="E262" s="8" t="n">
        <v>1243</v>
      </c>
      <c r="F262" s="8" t="n">
        <v>37.4</v>
      </c>
      <c r="G262" s="8" t="n">
        <v>4</v>
      </c>
      <c r="H262" s="8" t="n">
        <v>0</v>
      </c>
      <c r="I262" s="8" t="n">
        <v>2</v>
      </c>
      <c r="J262" s="9" t="n">
        <f aca="false">IF(E262=0,"",G262/E262*100)</f>
        <v>0.321802091713596</v>
      </c>
      <c r="K262" s="9" t="n">
        <f aca="false">IF(E262=0,"",I262/E262*1000)</f>
        <v>1.60901045856798</v>
      </c>
      <c r="L262" s="8" t="n">
        <v>1</v>
      </c>
    </row>
    <row r="263" customFormat="false" ht="15" hidden="false" customHeight="true" outlineLevel="0" collapsed="false">
      <c r="A263" s="10" t="s">
        <v>22</v>
      </c>
      <c r="B263" s="10" t="s">
        <v>227</v>
      </c>
      <c r="C263" s="8" t="n">
        <v>22</v>
      </c>
      <c r="D263" s="10" t="s">
        <v>386</v>
      </c>
      <c r="E263" s="8" t="n">
        <v>312</v>
      </c>
      <c r="F263" s="8" t="n">
        <v>37.1</v>
      </c>
      <c r="G263" s="8" t="n">
        <v>1</v>
      </c>
      <c r="H263" s="8" t="n">
        <v>0</v>
      </c>
      <c r="I263" s="8" t="n">
        <v>0</v>
      </c>
      <c r="J263" s="9" t="n">
        <f aca="false">IF(E263=0,"",G263/E263*100)</f>
        <v>0.320512820512821</v>
      </c>
      <c r="K263" s="9" t="n">
        <f aca="false">IF(E263=0,"",I263/E263*1000)</f>
        <v>0</v>
      </c>
      <c r="L263" s="8" t="n">
        <v>1</v>
      </c>
    </row>
    <row r="264" customFormat="false" ht="15" hidden="false" customHeight="true" outlineLevel="0" collapsed="false">
      <c r="A264" s="10" t="s">
        <v>22</v>
      </c>
      <c r="B264" s="10" t="s">
        <v>231</v>
      </c>
      <c r="C264" s="8" t="n">
        <v>21</v>
      </c>
      <c r="D264" s="8" t="s">
        <v>387</v>
      </c>
      <c r="E264" s="8" t="n">
        <v>951</v>
      </c>
      <c r="F264" s="8" t="n">
        <v>38.9</v>
      </c>
      <c r="G264" s="8" t="n">
        <v>2</v>
      </c>
      <c r="H264" s="8" t="n">
        <v>0</v>
      </c>
      <c r="I264" s="8" t="n">
        <v>1</v>
      </c>
      <c r="J264" s="9" t="n">
        <f aca="false">IF(E264=0,"",G264/E264*100)</f>
        <v>0.210304942166141</v>
      </c>
      <c r="K264" s="9" t="n">
        <f aca="false">IF(E264=0,"",I264/E264*1000)</f>
        <v>1.0515247108307</v>
      </c>
      <c r="L264" s="8" t="n">
        <v>1</v>
      </c>
    </row>
    <row r="265" customFormat="false" ht="15" hidden="false" customHeight="true" outlineLevel="0" collapsed="false">
      <c r="A265" s="10" t="s">
        <v>22</v>
      </c>
      <c r="B265" s="10" t="s">
        <v>231</v>
      </c>
      <c r="C265" s="8" t="n">
        <v>21</v>
      </c>
      <c r="D265" s="8" t="s">
        <v>388</v>
      </c>
      <c r="E265" s="8" t="n">
        <v>1042</v>
      </c>
      <c r="F265" s="8" t="n">
        <v>54.3</v>
      </c>
      <c r="G265" s="8" t="n">
        <v>4</v>
      </c>
      <c r="H265" s="8" t="n">
        <v>0</v>
      </c>
      <c r="I265" s="8" t="n">
        <v>2</v>
      </c>
      <c r="J265" s="9" t="n">
        <f aca="false">IF(E265=0,"",G265/E265*100)</f>
        <v>0.383877159309021</v>
      </c>
      <c r="K265" s="9" t="n">
        <f aca="false">IF(E265=0,"",I265/E265*1000)</f>
        <v>1.91938579654511</v>
      </c>
      <c r="L265" s="8" t="n">
        <v>1</v>
      </c>
    </row>
    <row r="266" customFormat="false" ht="15" hidden="false" customHeight="true" outlineLevel="0" collapsed="false">
      <c r="A266" s="10" t="s">
        <v>22</v>
      </c>
      <c r="B266" s="10" t="s">
        <v>234</v>
      </c>
      <c r="C266" s="8" t="n">
        <v>20</v>
      </c>
      <c r="D266" s="8" t="s">
        <v>389</v>
      </c>
      <c r="E266" s="8" t="n">
        <v>711</v>
      </c>
      <c r="F266" s="8" t="n">
        <v>32.8</v>
      </c>
      <c r="G266" s="8" t="n">
        <v>4</v>
      </c>
      <c r="H266" s="8" t="n">
        <v>0</v>
      </c>
      <c r="I266" s="8" t="n">
        <v>0</v>
      </c>
      <c r="J266" s="9" t="n">
        <f aca="false">IF(E266=0,"",G266/E266*100)</f>
        <v>0.562587904360056</v>
      </c>
      <c r="K266" s="9" t="n">
        <f aca="false">IF(E266=0,"",I266/E266*1000)</f>
        <v>0</v>
      </c>
      <c r="L266" s="8" t="n">
        <v>1</v>
      </c>
    </row>
    <row r="267" customFormat="false" ht="15" hidden="false" customHeight="true" outlineLevel="0" collapsed="false">
      <c r="A267" s="10" t="s">
        <v>22</v>
      </c>
      <c r="B267" s="10" t="s">
        <v>236</v>
      </c>
      <c r="C267" s="8" t="n">
        <v>19</v>
      </c>
      <c r="D267" s="8" t="s">
        <v>390</v>
      </c>
      <c r="E267" s="8" t="n">
        <v>1007</v>
      </c>
      <c r="F267" s="8" t="n">
        <v>42.6</v>
      </c>
      <c r="G267" s="8" t="n">
        <v>10</v>
      </c>
      <c r="H267" s="8" t="n">
        <v>0</v>
      </c>
      <c r="I267" s="8" t="n">
        <v>2</v>
      </c>
      <c r="J267" s="9" t="n">
        <f aca="false">IF(E267=0,"",G267/E267*100)</f>
        <v>0.99304865938431</v>
      </c>
      <c r="K267" s="9" t="n">
        <f aca="false">IF(E267=0,"",I267/E267*1000)</f>
        <v>1.98609731876862</v>
      </c>
      <c r="L267" s="8" t="n">
        <v>1</v>
      </c>
    </row>
    <row r="268" customFormat="false" ht="15" hidden="false" customHeight="true" outlineLevel="0" collapsed="false">
      <c r="A268" s="10" t="s">
        <v>22</v>
      </c>
      <c r="B268" s="10" t="s">
        <v>236</v>
      </c>
      <c r="C268" s="8" t="n">
        <v>19</v>
      </c>
      <c r="D268" s="8" t="s">
        <v>391</v>
      </c>
      <c r="E268" s="8" t="n">
        <v>896</v>
      </c>
      <c r="F268" s="8" t="n">
        <v>40.9</v>
      </c>
      <c r="G268" s="8" t="n">
        <v>2</v>
      </c>
      <c r="H268" s="8" t="n">
        <v>2</v>
      </c>
      <c r="I268" s="8" t="n">
        <v>1</v>
      </c>
      <c r="J268" s="9" t="n">
        <f aca="false">IF(E268=0,"",G268/E268*100)</f>
        <v>0.223214285714286</v>
      </c>
      <c r="K268" s="9" t="n">
        <f aca="false">IF(E268=0,"",I268/E268*1000)</f>
        <v>1.11607142857143</v>
      </c>
      <c r="L268" s="8" t="n">
        <v>1</v>
      </c>
    </row>
    <row r="269" customFormat="false" ht="15" hidden="false" customHeight="true" outlineLevel="0" collapsed="false">
      <c r="A269" s="10" t="s">
        <v>22</v>
      </c>
      <c r="B269" s="10" t="s">
        <v>236</v>
      </c>
      <c r="C269" s="8" t="n">
        <v>19</v>
      </c>
      <c r="D269" s="8" t="s">
        <v>392</v>
      </c>
      <c r="E269" s="8" t="n">
        <v>719</v>
      </c>
      <c r="F269" s="8" t="n">
        <v>41.8</v>
      </c>
      <c r="G269" s="8" t="n">
        <v>9</v>
      </c>
      <c r="H269" s="8" t="n">
        <v>0</v>
      </c>
      <c r="I269" s="8" t="n">
        <v>0</v>
      </c>
      <c r="J269" s="9" t="n">
        <f aca="false">IF(E269=0,"",G269/E269*100)</f>
        <v>1.25173852573018</v>
      </c>
      <c r="K269" s="9" t="n">
        <f aca="false">IF(E269=0,"",I269/E269*1000)</f>
        <v>0</v>
      </c>
      <c r="L269" s="8" t="n">
        <v>1</v>
      </c>
    </row>
    <row r="270" customFormat="false" ht="15" hidden="false" customHeight="true" outlineLevel="0" collapsed="false">
      <c r="A270" s="10" t="s">
        <v>22</v>
      </c>
      <c r="B270" s="10" t="s">
        <v>240</v>
      </c>
      <c r="C270" s="8" t="n">
        <v>18</v>
      </c>
      <c r="D270" s="8" t="s">
        <v>393</v>
      </c>
      <c r="E270" s="8" t="n">
        <v>741</v>
      </c>
      <c r="F270" s="8" t="n">
        <v>49.4</v>
      </c>
      <c r="G270" s="8" t="n">
        <v>3</v>
      </c>
      <c r="H270" s="8" t="n">
        <v>0</v>
      </c>
      <c r="I270" s="8" t="n">
        <v>0</v>
      </c>
      <c r="J270" s="9" t="n">
        <f aca="false">IF(E270=0,"",G270/E270*100)</f>
        <v>0.404858299595142</v>
      </c>
      <c r="K270" s="9" t="n">
        <f aca="false">IF(E270=0,"",I270/E270*1000)</f>
        <v>0</v>
      </c>
      <c r="L270" s="8" t="n">
        <v>1</v>
      </c>
    </row>
    <row r="271" customFormat="false" ht="15" hidden="false" customHeight="true" outlineLevel="0" collapsed="false">
      <c r="A271" s="10" t="s">
        <v>22</v>
      </c>
      <c r="B271" s="10" t="s">
        <v>240</v>
      </c>
      <c r="C271" s="8" t="n">
        <v>18</v>
      </c>
      <c r="D271" s="8" t="s">
        <v>394</v>
      </c>
      <c r="E271" s="8" t="n">
        <v>1168</v>
      </c>
      <c r="F271" s="8" t="n">
        <v>61.9</v>
      </c>
      <c r="G271" s="8" t="n">
        <v>8</v>
      </c>
      <c r="H271" s="8" t="n">
        <v>0</v>
      </c>
      <c r="I271" s="8" t="n">
        <v>3</v>
      </c>
      <c r="J271" s="9" t="n">
        <f aca="false">IF(E271=0,"",G271/E271*100)</f>
        <v>0.684931506849315</v>
      </c>
      <c r="K271" s="9" t="n">
        <f aca="false">IF(E271=0,"",I271/E271*1000)</f>
        <v>2.56849315068493</v>
      </c>
      <c r="L271" s="8" t="n">
        <v>1</v>
      </c>
    </row>
    <row r="272" customFormat="false" ht="15" hidden="false" customHeight="true" outlineLevel="0" collapsed="false">
      <c r="A272" s="10" t="s">
        <v>22</v>
      </c>
      <c r="B272" s="10" t="s">
        <v>244</v>
      </c>
      <c r="C272" s="8" t="n">
        <v>17</v>
      </c>
      <c r="D272" s="8" t="s">
        <v>395</v>
      </c>
      <c r="E272" s="8" t="n">
        <v>787</v>
      </c>
      <c r="F272" s="8" t="n">
        <v>69.5</v>
      </c>
      <c r="G272" s="8" t="n">
        <v>1</v>
      </c>
      <c r="H272" s="8" t="n">
        <v>0</v>
      </c>
      <c r="I272" s="8" t="n">
        <v>0</v>
      </c>
      <c r="J272" s="9" t="n">
        <f aca="false">IF(E272=0,"",G272/E272*100)</f>
        <v>0.127064803049555</v>
      </c>
      <c r="K272" s="9" t="n">
        <f aca="false">IF(E272=0,"",I272/E272*1000)</f>
        <v>0</v>
      </c>
      <c r="L272" s="8" t="n">
        <v>1</v>
      </c>
    </row>
    <row r="273" customFormat="false" ht="15" hidden="false" customHeight="true" outlineLevel="0" collapsed="false">
      <c r="A273" s="10" t="s">
        <v>22</v>
      </c>
      <c r="B273" s="10" t="s">
        <v>244</v>
      </c>
      <c r="C273" s="8" t="n">
        <v>17</v>
      </c>
      <c r="D273" s="8" t="s">
        <v>396</v>
      </c>
      <c r="E273" s="8" t="n">
        <v>452</v>
      </c>
      <c r="F273" s="8" t="n">
        <v>52.5</v>
      </c>
      <c r="G273" s="8" t="n">
        <v>1</v>
      </c>
      <c r="H273" s="8" t="n">
        <v>0</v>
      </c>
      <c r="I273" s="8" t="n">
        <v>0</v>
      </c>
      <c r="J273" s="9" t="n">
        <f aca="false">IF(E273=0,"",G273/E273*100)</f>
        <v>0.221238938053097</v>
      </c>
      <c r="K273" s="9" t="n">
        <f aca="false">IF(E273=0,"",I273/E273*1000)</f>
        <v>0</v>
      </c>
      <c r="L273" s="8" t="n">
        <v>1</v>
      </c>
    </row>
    <row r="274" customFormat="false" ht="15" hidden="false" customHeight="true" outlineLevel="0" collapsed="false">
      <c r="A274" s="10" t="s">
        <v>22</v>
      </c>
      <c r="B274" s="10" t="s">
        <v>248</v>
      </c>
      <c r="C274" s="8" t="n">
        <v>15</v>
      </c>
      <c r="D274" s="8" t="s">
        <v>397</v>
      </c>
      <c r="E274" s="8" t="n">
        <v>802</v>
      </c>
      <c r="F274" s="8" t="n">
        <v>74.3</v>
      </c>
      <c r="G274" s="8" t="n">
        <v>1</v>
      </c>
      <c r="H274" s="8" t="n">
        <v>0</v>
      </c>
      <c r="I274" s="8" t="n">
        <v>0</v>
      </c>
      <c r="J274" s="9" t="n">
        <f aca="false">IF(E274=0,"",G274/E274*100)</f>
        <v>0.124688279301746</v>
      </c>
      <c r="K274" s="9" t="n">
        <f aca="false">IF(E274=0,"",I274/E274*1000)</f>
        <v>0</v>
      </c>
      <c r="L274" s="8" t="n">
        <v>1</v>
      </c>
    </row>
    <row r="275" customFormat="false" ht="15" hidden="false" customHeight="true" outlineLevel="0" collapsed="false">
      <c r="A275" s="10" t="s">
        <v>22</v>
      </c>
      <c r="B275" s="10" t="s">
        <v>248</v>
      </c>
      <c r="C275" s="8" t="n">
        <v>15</v>
      </c>
      <c r="D275" s="8" t="s">
        <v>398</v>
      </c>
      <c r="E275" s="8" t="n">
        <v>868</v>
      </c>
      <c r="F275" s="8" t="n">
        <v>55.4</v>
      </c>
      <c r="G275" s="8" t="n">
        <v>6</v>
      </c>
      <c r="H275" s="8" t="n">
        <v>0</v>
      </c>
      <c r="I275" s="8" t="n">
        <v>1</v>
      </c>
      <c r="J275" s="9" t="n">
        <f aca="false">IF(E275=0,"",G275/E275*100)</f>
        <v>0.691244239631336</v>
      </c>
      <c r="K275" s="9" t="n">
        <f aca="false">IF(E275=0,"",I275/E275*1000)</f>
        <v>1.15207373271889</v>
      </c>
      <c r="L275" s="8" t="n">
        <v>1</v>
      </c>
    </row>
    <row r="276" customFormat="false" ht="15" hidden="false" customHeight="true" outlineLevel="0" collapsed="false">
      <c r="A276" s="10" t="s">
        <v>22</v>
      </c>
      <c r="B276" s="10" t="s">
        <v>248</v>
      </c>
      <c r="C276" s="8" t="n">
        <v>15</v>
      </c>
      <c r="D276" s="8" t="s">
        <v>399</v>
      </c>
      <c r="E276" s="8" t="n">
        <v>839</v>
      </c>
      <c r="F276" s="8" t="n">
        <v>72.4</v>
      </c>
      <c r="G276" s="8" t="n">
        <v>3</v>
      </c>
      <c r="H276" s="8" t="n">
        <v>0</v>
      </c>
      <c r="I276" s="8" t="n">
        <v>0</v>
      </c>
      <c r="J276" s="9" t="n">
        <f aca="false">IF(E276=0,"",G276/E276*100)</f>
        <v>0.357568533969011</v>
      </c>
      <c r="K276" s="9" t="n">
        <f aca="false">IF(E276=0,"",I276/E276*1000)</f>
        <v>0</v>
      </c>
      <c r="L276" s="8" t="n">
        <v>1</v>
      </c>
    </row>
    <row r="277" customFormat="false" ht="15" hidden="false" customHeight="true" outlineLevel="0" collapsed="false">
      <c r="A277" s="10" t="s">
        <v>22</v>
      </c>
      <c r="B277" s="10" t="s">
        <v>75</v>
      </c>
      <c r="C277" s="8" t="n">
        <v>14</v>
      </c>
      <c r="D277" s="8" t="s">
        <v>400</v>
      </c>
      <c r="E277" s="8" t="n">
        <v>1209</v>
      </c>
      <c r="F277" s="8" t="n">
        <v>46.7</v>
      </c>
      <c r="G277" s="8" t="n">
        <v>2</v>
      </c>
      <c r="H277" s="8" t="n">
        <v>0</v>
      </c>
      <c r="I277" s="8" t="n">
        <v>0</v>
      </c>
      <c r="J277" s="9" t="n">
        <f aca="false">IF(E277=0,"",G277/E277*100)</f>
        <v>0.165425971877585</v>
      </c>
      <c r="K277" s="9" t="n">
        <f aca="false">IF(E277=0,"",I277/E277*1000)</f>
        <v>0</v>
      </c>
      <c r="L277" s="8" t="n">
        <v>1</v>
      </c>
    </row>
    <row r="278" customFormat="false" ht="15" hidden="false" customHeight="true" outlineLevel="0" collapsed="false">
      <c r="A278" s="10" t="s">
        <v>22</v>
      </c>
      <c r="B278" s="10" t="s">
        <v>75</v>
      </c>
      <c r="C278" s="8" t="n">
        <v>14</v>
      </c>
      <c r="D278" s="8" t="s">
        <v>401</v>
      </c>
      <c r="E278" s="8" t="n">
        <v>812</v>
      </c>
      <c r="F278" s="8" t="n">
        <v>49.7</v>
      </c>
      <c r="G278" s="8" t="n">
        <v>4</v>
      </c>
      <c r="H278" s="8" t="n">
        <v>0</v>
      </c>
      <c r="I278" s="8" t="n">
        <v>0</v>
      </c>
      <c r="J278" s="9" t="n">
        <f aca="false">IF(E278=0,"",G278/E278*100)</f>
        <v>0.492610837438424</v>
      </c>
      <c r="K278" s="9" t="n">
        <f aca="false">IF(E278=0,"",I278/E278*1000)</f>
        <v>0</v>
      </c>
      <c r="L278" s="8" t="n">
        <v>1</v>
      </c>
    </row>
    <row r="279" customFormat="false" ht="15" hidden="false" customHeight="true" outlineLevel="0" collapsed="false">
      <c r="A279" s="10" t="s">
        <v>22</v>
      </c>
      <c r="B279" s="10" t="s">
        <v>75</v>
      </c>
      <c r="C279" s="8" t="n">
        <v>14</v>
      </c>
      <c r="D279" s="8" t="s">
        <v>402</v>
      </c>
      <c r="E279" s="8" t="n">
        <v>710</v>
      </c>
      <c r="F279" s="8" t="n">
        <v>118.1</v>
      </c>
      <c r="G279" s="8" t="n">
        <v>4</v>
      </c>
      <c r="H279" s="8" t="n">
        <v>0</v>
      </c>
      <c r="I279" s="8" t="n">
        <v>1</v>
      </c>
      <c r="J279" s="9" t="n">
        <f aca="false">IF(E279=0,"",G279/E279*100)</f>
        <v>0.563380281690141</v>
      </c>
      <c r="K279" s="9" t="n">
        <f aca="false">IF(E279=0,"",I279/E279*1000)</f>
        <v>1.40845070422535</v>
      </c>
      <c r="L279" s="8" t="n">
        <v>1</v>
      </c>
    </row>
    <row r="280" customFormat="false" ht="15" hidden="false" customHeight="true" outlineLevel="0" collapsed="false">
      <c r="A280" s="10" t="s">
        <v>22</v>
      </c>
      <c r="B280" s="10" t="s">
        <v>254</v>
      </c>
      <c r="C280" s="8" t="n">
        <v>13</v>
      </c>
      <c r="D280" s="8" t="s">
        <v>403</v>
      </c>
      <c r="E280" s="8" t="n">
        <v>74</v>
      </c>
      <c r="F280" s="8" t="n">
        <v>55.6</v>
      </c>
      <c r="G280" s="8" t="n">
        <v>0</v>
      </c>
      <c r="H280" s="8" t="n">
        <v>0</v>
      </c>
      <c r="I280" s="8" t="n">
        <v>0</v>
      </c>
      <c r="J280" s="9" t="n">
        <f aca="false">IF(E280=0,"",G280/E280*100)</f>
        <v>0</v>
      </c>
      <c r="K280" s="9" t="n">
        <f aca="false">IF(E280=0,"",I280/E280*1000)</f>
        <v>0</v>
      </c>
      <c r="L280" s="8" t="n">
        <v>0</v>
      </c>
    </row>
    <row r="281" customFormat="false" ht="15" hidden="false" customHeight="true" outlineLevel="0" collapsed="false">
      <c r="A281" s="10" t="s">
        <v>22</v>
      </c>
      <c r="B281" s="10" t="s">
        <v>254</v>
      </c>
      <c r="C281" s="8" t="n">
        <v>13</v>
      </c>
      <c r="D281" s="8" t="s">
        <v>404</v>
      </c>
      <c r="E281" s="8" t="n">
        <v>780</v>
      </c>
      <c r="F281" s="8" t="n">
        <v>53.7</v>
      </c>
      <c r="G281" s="8" t="n">
        <v>3</v>
      </c>
      <c r="H281" s="8" t="n">
        <v>0</v>
      </c>
      <c r="I281" s="8" t="n">
        <v>0</v>
      </c>
      <c r="J281" s="9" t="n">
        <f aca="false">IF(E281=0,"",G281/E281*100)</f>
        <v>0.384615384615385</v>
      </c>
      <c r="K281" s="9" t="n">
        <f aca="false">IF(E281=0,"",I281/E281*1000)</f>
        <v>0</v>
      </c>
      <c r="L281" s="8" t="n">
        <v>1</v>
      </c>
    </row>
    <row r="282" customFormat="false" ht="15" hidden="false" customHeight="true" outlineLevel="0" collapsed="false">
      <c r="A282" s="10" t="s">
        <v>22</v>
      </c>
      <c r="B282" s="10" t="s">
        <v>258</v>
      </c>
      <c r="C282" s="8" t="n">
        <v>12</v>
      </c>
      <c r="D282" s="10" t="s">
        <v>405</v>
      </c>
      <c r="E282" s="8" t="n">
        <v>1053</v>
      </c>
      <c r="F282" s="8" t="n">
        <v>45.8</v>
      </c>
      <c r="G282" s="8" t="n">
        <v>5</v>
      </c>
      <c r="H282" s="8" t="n">
        <v>1</v>
      </c>
      <c r="I282" s="8" t="n">
        <v>2</v>
      </c>
      <c r="J282" s="9" t="n">
        <f aca="false">IF(E282=0,"",G282/E282*100)</f>
        <v>0.474833808167142</v>
      </c>
      <c r="K282" s="9" t="n">
        <f aca="false">IF(E282=0,"",I282/E282*1000)</f>
        <v>1.89933523266857</v>
      </c>
      <c r="L282" s="8" t="n">
        <v>1</v>
      </c>
    </row>
    <row r="283" customFormat="false" ht="15" hidden="false" customHeight="true" outlineLevel="0" collapsed="false">
      <c r="A283" s="10" t="s">
        <v>22</v>
      </c>
      <c r="B283" s="10" t="s">
        <v>260</v>
      </c>
      <c r="C283" s="8" t="n">
        <v>11</v>
      </c>
      <c r="D283" s="10" t="s">
        <v>406</v>
      </c>
      <c r="E283" s="8" t="n">
        <v>777</v>
      </c>
      <c r="F283" s="8" t="n">
        <v>47.1</v>
      </c>
      <c r="G283" s="8" t="n">
        <v>2</v>
      </c>
      <c r="H283" s="8" t="n">
        <v>0</v>
      </c>
      <c r="I283" s="8" t="n">
        <v>1</v>
      </c>
      <c r="J283" s="9" t="n">
        <f aca="false">IF(E283=0,"",G283/E283*100)</f>
        <v>0.257400257400257</v>
      </c>
      <c r="K283" s="9" t="n">
        <f aca="false">IF(E283=0,"",I283/E283*1000)</f>
        <v>1.28700128700129</v>
      </c>
      <c r="L283" s="8" t="n">
        <v>1</v>
      </c>
    </row>
    <row r="284" customFormat="false" ht="15" hidden="false" customHeight="true" outlineLevel="0" collapsed="false">
      <c r="A284" s="10" t="s">
        <v>22</v>
      </c>
      <c r="B284" s="10" t="s">
        <v>77</v>
      </c>
      <c r="C284" s="8" t="n">
        <v>10</v>
      </c>
      <c r="D284" s="10" t="s">
        <v>407</v>
      </c>
      <c r="E284" s="8" t="n">
        <v>1071</v>
      </c>
      <c r="F284" s="8" t="n">
        <v>86.6</v>
      </c>
      <c r="G284" s="8" t="n">
        <v>0</v>
      </c>
      <c r="H284" s="8" t="n">
        <v>0</v>
      </c>
      <c r="I284" s="8" t="n">
        <v>0</v>
      </c>
      <c r="J284" s="9" t="n">
        <f aca="false">IF(E284=0,"",G284/E284*100)</f>
        <v>0</v>
      </c>
      <c r="K284" s="9" t="n">
        <f aca="false">IF(E284=0,"",I284/E284*1000)</f>
        <v>0</v>
      </c>
      <c r="L284" s="8" t="n">
        <v>1</v>
      </c>
    </row>
    <row r="285" customFormat="false" ht="15" hidden="false" customHeight="true" outlineLevel="0" collapsed="false">
      <c r="A285" s="10" t="s">
        <v>22</v>
      </c>
      <c r="B285" s="10" t="s">
        <v>80</v>
      </c>
      <c r="C285" s="8" t="n">
        <v>9</v>
      </c>
      <c r="D285" s="10" t="s">
        <v>408</v>
      </c>
      <c r="E285" s="8" t="n">
        <v>961</v>
      </c>
      <c r="F285" s="8" t="n">
        <v>45.9</v>
      </c>
      <c r="G285" s="8" t="n">
        <v>3</v>
      </c>
      <c r="H285" s="8" t="n">
        <v>0</v>
      </c>
      <c r="I285" s="8" t="n">
        <v>0</v>
      </c>
      <c r="J285" s="9" t="n">
        <f aca="false">IF(E285=0,"",G285/E285*100)</f>
        <v>0.312174817898023</v>
      </c>
      <c r="K285" s="9" t="n">
        <f aca="false">IF(E285=0,"",I285/E285*1000)</f>
        <v>0</v>
      </c>
      <c r="L285" s="8" t="n">
        <v>1</v>
      </c>
    </row>
    <row r="286" customFormat="false" ht="15" hidden="false" customHeight="true" outlineLevel="0" collapsed="false">
      <c r="A286" s="10" t="s">
        <v>22</v>
      </c>
      <c r="B286" s="10" t="s">
        <v>83</v>
      </c>
      <c r="C286" s="8" t="n">
        <v>8</v>
      </c>
      <c r="D286" s="10" t="s">
        <v>409</v>
      </c>
      <c r="E286" s="8" t="n">
        <v>1129</v>
      </c>
      <c r="F286" s="8" t="n">
        <v>52.9</v>
      </c>
      <c r="G286" s="8" t="n">
        <v>3</v>
      </c>
      <c r="H286" s="8" t="n">
        <v>0</v>
      </c>
      <c r="I286" s="8" t="n">
        <v>0</v>
      </c>
      <c r="J286" s="9" t="n">
        <f aca="false">IF(E286=0,"",G286/E286*100)</f>
        <v>0.265721877767936</v>
      </c>
      <c r="K286" s="9" t="n">
        <f aca="false">IF(E286=0,"",I286/E286*1000)</f>
        <v>0</v>
      </c>
      <c r="L286" s="8" t="n">
        <v>1</v>
      </c>
    </row>
    <row r="287" customFormat="false" ht="15" hidden="false" customHeight="true" outlineLevel="0" collapsed="false">
      <c r="A287" s="10" t="s">
        <v>22</v>
      </c>
      <c r="B287" s="10" t="s">
        <v>88</v>
      </c>
      <c r="C287" s="8" t="n">
        <v>6</v>
      </c>
      <c r="D287" s="10" t="s">
        <v>410</v>
      </c>
      <c r="E287" s="8" t="n">
        <v>923</v>
      </c>
      <c r="F287" s="8" t="n">
        <v>51.3</v>
      </c>
      <c r="G287" s="8" t="n">
        <v>5</v>
      </c>
      <c r="H287" s="8" t="n">
        <v>0</v>
      </c>
      <c r="I287" s="8" t="n">
        <v>0</v>
      </c>
      <c r="J287" s="9" t="n">
        <f aca="false">IF(E287=0,"",G287/E287*100)</f>
        <v>0.541711809317443</v>
      </c>
      <c r="K287" s="9" t="n">
        <f aca="false">IF(E287=0,"",I287/E287*1000)</f>
        <v>0</v>
      </c>
      <c r="L287" s="8" t="n">
        <v>1</v>
      </c>
    </row>
    <row r="288" customFormat="false" ht="15" hidden="false" customHeight="true" outlineLevel="0" collapsed="false">
      <c r="A288" s="10" t="s">
        <v>22</v>
      </c>
      <c r="B288" s="10" t="s">
        <v>88</v>
      </c>
      <c r="C288" s="8" t="n">
        <v>6</v>
      </c>
      <c r="D288" s="10" t="s">
        <v>411</v>
      </c>
      <c r="E288" s="8" t="n">
        <v>874</v>
      </c>
      <c r="F288" s="8" t="n">
        <v>51.9</v>
      </c>
      <c r="G288" s="8" t="n">
        <v>9</v>
      </c>
      <c r="H288" s="8" t="n">
        <v>0</v>
      </c>
      <c r="I288" s="8" t="n">
        <v>0</v>
      </c>
      <c r="J288" s="9" t="n">
        <f aca="false">IF(E288=0,"",G288/E288*100)</f>
        <v>1.02974828375286</v>
      </c>
      <c r="K288" s="9" t="n">
        <f aca="false">IF(E288=0,"",I288/E288*1000)</f>
        <v>0</v>
      </c>
      <c r="L288" s="8" t="n">
        <v>1</v>
      </c>
    </row>
    <row r="289" customFormat="false" ht="15" hidden="false" customHeight="true" outlineLevel="0" collapsed="false">
      <c r="A289" s="10" t="s">
        <v>22</v>
      </c>
      <c r="B289" s="10" t="s">
        <v>94</v>
      </c>
      <c r="C289" s="8" t="n">
        <v>5</v>
      </c>
      <c r="D289" s="10" t="s">
        <v>412</v>
      </c>
      <c r="E289" s="8" t="n">
        <v>910</v>
      </c>
      <c r="F289" s="8" t="n">
        <v>49.3</v>
      </c>
      <c r="G289" s="8" t="n">
        <v>6</v>
      </c>
      <c r="H289" s="8" t="n">
        <v>0</v>
      </c>
      <c r="I289" s="8" t="n">
        <v>1</v>
      </c>
      <c r="J289" s="9" t="n">
        <f aca="false">IF(E289=0,"",G289/E289*100)</f>
        <v>0.659340659340659</v>
      </c>
      <c r="K289" s="9" t="n">
        <f aca="false">IF(E289=0,"",I289/E289*1000)</f>
        <v>1.0989010989011</v>
      </c>
      <c r="L289" s="8" t="n">
        <v>0</v>
      </c>
    </row>
    <row r="290" customFormat="false" ht="15" hidden="false" customHeight="true" outlineLevel="0" collapsed="false">
      <c r="A290" s="10" t="s">
        <v>22</v>
      </c>
      <c r="B290" s="10" t="s">
        <v>97</v>
      </c>
      <c r="C290" s="8" t="n">
        <v>4</v>
      </c>
      <c r="D290" s="8" t="s">
        <v>413</v>
      </c>
      <c r="E290" s="8" t="n">
        <v>637</v>
      </c>
      <c r="F290" s="8" t="n">
        <v>49.5</v>
      </c>
      <c r="G290" s="8" t="n">
        <v>4</v>
      </c>
      <c r="H290" s="8" t="n">
        <v>0</v>
      </c>
      <c r="I290" s="8" t="n">
        <v>1</v>
      </c>
      <c r="J290" s="9" t="n">
        <f aca="false">IF(E290=0,"",G290/E290*100)</f>
        <v>0.627943485086342</v>
      </c>
      <c r="K290" s="9" t="n">
        <f aca="false">IF(E290=0,"",I290/E290*1000)</f>
        <v>1.56985871271586</v>
      </c>
      <c r="L290" s="8" t="n">
        <v>0</v>
      </c>
    </row>
    <row r="291" customFormat="false" ht="15" hidden="false" customHeight="true" outlineLevel="0" collapsed="false">
      <c r="A291" s="10" t="s">
        <v>22</v>
      </c>
      <c r="B291" s="10" t="s">
        <v>100</v>
      </c>
      <c r="C291" s="8" t="n">
        <v>3</v>
      </c>
      <c r="D291" s="8" t="s">
        <v>414</v>
      </c>
      <c r="E291" s="8" t="n">
        <v>64</v>
      </c>
      <c r="F291" s="8" t="n">
        <v>21.6</v>
      </c>
      <c r="G291" s="8" t="n">
        <v>0</v>
      </c>
      <c r="H291" s="8" t="n">
        <v>0</v>
      </c>
      <c r="I291" s="8" t="n">
        <v>0</v>
      </c>
      <c r="J291" s="9" t="n">
        <f aca="false">IF(E291=0,"",G291/E291*100)</f>
        <v>0</v>
      </c>
      <c r="K291" s="9" t="n">
        <f aca="false">IF(E291=0,"",I291/E291*1000)</f>
        <v>0</v>
      </c>
      <c r="L291" s="8" t="n">
        <v>0</v>
      </c>
    </row>
    <row r="292" customFormat="false" ht="15" hidden="false" customHeight="true" outlineLevel="0" collapsed="false">
      <c r="A292" s="10" t="s">
        <v>22</v>
      </c>
      <c r="B292" s="10" t="s">
        <v>103</v>
      </c>
      <c r="C292" s="8" t="n">
        <v>2</v>
      </c>
      <c r="D292" s="8" t="s">
        <v>415</v>
      </c>
      <c r="E292" s="8" t="n">
        <v>597</v>
      </c>
      <c r="F292" s="8" t="n">
        <v>27.4</v>
      </c>
      <c r="G292" s="8" t="n">
        <v>4</v>
      </c>
      <c r="H292" s="8" t="n">
        <v>0</v>
      </c>
      <c r="I292" s="8" t="n">
        <v>0</v>
      </c>
      <c r="J292" s="9" t="n">
        <f aca="false">IF(E292=0,"",G292/E292*100)</f>
        <v>0.670016750418761</v>
      </c>
      <c r="K292" s="9" t="n">
        <f aca="false">IF(E292=0,"",I292/E292*1000)</f>
        <v>0</v>
      </c>
      <c r="L292" s="8" t="n">
        <v>0</v>
      </c>
    </row>
    <row r="293" customFormat="false" ht="15" hidden="false" customHeight="true" outlineLevel="0" collapsed="false">
      <c r="A293" s="10" t="s">
        <v>25</v>
      </c>
      <c r="B293" s="10" t="s">
        <v>271</v>
      </c>
      <c r="C293" s="8" t="n">
        <v>24</v>
      </c>
      <c r="D293" s="10" t="s">
        <v>416</v>
      </c>
      <c r="E293" s="8" t="n">
        <v>226</v>
      </c>
      <c r="F293" s="8" t="n">
        <v>56.1</v>
      </c>
      <c r="G293" s="8" t="n">
        <v>1</v>
      </c>
      <c r="H293" s="8" t="n">
        <v>0</v>
      </c>
      <c r="I293" s="8" t="n">
        <v>0</v>
      </c>
      <c r="J293" s="9" t="n">
        <f aca="false">IF(E293=0,"",G293/E293*100)</f>
        <v>0.442477876106195</v>
      </c>
      <c r="K293" s="9" t="n">
        <f aca="false">IF(E293=0,"",I293/E293*1000)</f>
        <v>0</v>
      </c>
      <c r="L293" s="8" t="n">
        <v>0</v>
      </c>
    </row>
    <row r="294" customFormat="false" ht="15" hidden="false" customHeight="true" outlineLevel="0" collapsed="false">
      <c r="A294" s="10" t="s">
        <v>25</v>
      </c>
      <c r="B294" s="10" t="s">
        <v>271</v>
      </c>
      <c r="C294" s="8" t="n">
        <v>24</v>
      </c>
      <c r="D294" s="10" t="s">
        <v>416</v>
      </c>
      <c r="E294" s="8" t="n">
        <v>1167</v>
      </c>
      <c r="F294" s="8" t="n">
        <v>58</v>
      </c>
      <c r="G294" s="8" t="n">
        <v>3</v>
      </c>
      <c r="H294" s="8" t="n">
        <v>0</v>
      </c>
      <c r="I294" s="8" t="n">
        <v>0</v>
      </c>
      <c r="J294" s="9" t="n">
        <f aca="false">IF(E294=0,"",G294/E294*100)</f>
        <v>0.25706940874036</v>
      </c>
      <c r="K294" s="9" t="n">
        <f aca="false">IF(E294=0,"",I294/E294*1000)</f>
        <v>0</v>
      </c>
      <c r="L294" s="8" t="n">
        <v>1</v>
      </c>
    </row>
    <row r="295" customFormat="false" ht="15" hidden="false" customHeight="true" outlineLevel="0" collapsed="false">
      <c r="A295" s="10" t="s">
        <v>25</v>
      </c>
      <c r="B295" s="10" t="s">
        <v>225</v>
      </c>
      <c r="C295" s="8" t="n">
        <v>23</v>
      </c>
      <c r="D295" s="8" t="s">
        <v>417</v>
      </c>
      <c r="E295" s="8" t="n">
        <v>1223</v>
      </c>
      <c r="F295" s="8" t="n">
        <v>66.1</v>
      </c>
      <c r="G295" s="8" t="n">
        <v>5</v>
      </c>
      <c r="H295" s="8" t="n">
        <v>0</v>
      </c>
      <c r="I295" s="8" t="n">
        <v>2</v>
      </c>
      <c r="J295" s="9" t="n">
        <f aca="false">IF(E295=0,"",G295/E295*100)</f>
        <v>0.408830744071954</v>
      </c>
      <c r="K295" s="9" t="n">
        <f aca="false">IF(E295=0,"",I295/E295*1000)</f>
        <v>1.63532297628782</v>
      </c>
      <c r="L295" s="8" t="n">
        <v>1</v>
      </c>
    </row>
    <row r="296" customFormat="false" ht="15" hidden="false" customHeight="true" outlineLevel="0" collapsed="false">
      <c r="A296" s="10" t="s">
        <v>25</v>
      </c>
      <c r="B296" s="10" t="s">
        <v>227</v>
      </c>
      <c r="C296" s="8" t="n">
        <v>22</v>
      </c>
      <c r="D296" s="8" t="s">
        <v>418</v>
      </c>
      <c r="E296" s="8" t="n">
        <v>1402</v>
      </c>
      <c r="F296" s="8" t="n">
        <v>95.6</v>
      </c>
      <c r="G296" s="8" t="n">
        <v>5</v>
      </c>
      <c r="H296" s="8" t="n">
        <v>0</v>
      </c>
      <c r="I296" s="8" t="n">
        <v>1</v>
      </c>
      <c r="J296" s="9" t="n">
        <f aca="false">IF(E296=0,"",G296/E296*100)</f>
        <v>0.356633380884451</v>
      </c>
      <c r="K296" s="9" t="n">
        <f aca="false">IF(E296=0,"",I296/E296*1000)</f>
        <v>0.713266761768902</v>
      </c>
      <c r="L296" s="8" t="n">
        <v>1</v>
      </c>
    </row>
    <row r="297" customFormat="false" ht="15" hidden="false" customHeight="true" outlineLevel="0" collapsed="false">
      <c r="A297" s="10" t="s">
        <v>25</v>
      </c>
      <c r="B297" s="10" t="s">
        <v>227</v>
      </c>
      <c r="C297" s="8" t="n">
        <v>22</v>
      </c>
      <c r="D297" s="10" t="s">
        <v>419</v>
      </c>
      <c r="E297" s="8" t="n">
        <v>8</v>
      </c>
      <c r="F297" s="8" t="n">
        <v>72.1</v>
      </c>
      <c r="G297" s="8" t="n">
        <v>0</v>
      </c>
      <c r="H297" s="8" t="n">
        <v>0</v>
      </c>
      <c r="I297" s="8" t="n">
        <v>0</v>
      </c>
      <c r="J297" s="9" t="n">
        <f aca="false">IF(E297=0,"",G297/E297*100)</f>
        <v>0</v>
      </c>
      <c r="K297" s="9" t="n">
        <f aca="false">IF(E297=0,"",I297/E297*1000)</f>
        <v>0</v>
      </c>
      <c r="L297" s="8" t="n">
        <v>0</v>
      </c>
    </row>
    <row r="298" customFormat="false" ht="15" hidden="false" customHeight="true" outlineLevel="0" collapsed="false">
      <c r="A298" s="10" t="s">
        <v>25</v>
      </c>
      <c r="B298" s="10" t="s">
        <v>227</v>
      </c>
      <c r="C298" s="8" t="n">
        <v>22</v>
      </c>
      <c r="D298" s="8" t="s">
        <v>420</v>
      </c>
      <c r="E298" s="8" t="n">
        <v>1165</v>
      </c>
      <c r="F298" s="8" t="n">
        <v>62.1</v>
      </c>
      <c r="G298" s="8" t="n">
        <v>5</v>
      </c>
      <c r="H298" s="8" t="n">
        <v>0</v>
      </c>
      <c r="I298" s="8" t="n">
        <v>1</v>
      </c>
      <c r="J298" s="9" t="n">
        <f aca="false">IF(E298=0,"",G298/E298*100)</f>
        <v>0.429184549356223</v>
      </c>
      <c r="K298" s="9" t="n">
        <f aca="false">IF(E298=0,"",I298/E298*1000)</f>
        <v>0.858369098712446</v>
      </c>
      <c r="L298" s="8" t="n">
        <v>1</v>
      </c>
    </row>
    <row r="299" customFormat="false" ht="15" hidden="false" customHeight="true" outlineLevel="0" collapsed="false">
      <c r="A299" s="10" t="s">
        <v>25</v>
      </c>
      <c r="B299" s="10" t="s">
        <v>231</v>
      </c>
      <c r="C299" s="8" t="n">
        <v>21</v>
      </c>
      <c r="D299" s="8" t="s">
        <v>421</v>
      </c>
      <c r="E299" s="8" t="n">
        <v>1273</v>
      </c>
      <c r="F299" s="8" t="n">
        <v>54.4</v>
      </c>
      <c r="G299" s="8" t="n">
        <v>4</v>
      </c>
      <c r="H299" s="8" t="n">
        <v>1</v>
      </c>
      <c r="I299" s="8" t="n">
        <v>0</v>
      </c>
      <c r="J299" s="9" t="n">
        <f aca="false">IF(E299=0,"",G299/E299*100)</f>
        <v>0.314218381775334</v>
      </c>
      <c r="K299" s="9" t="n">
        <f aca="false">IF(E299=0,"",I299/E299*1000)</f>
        <v>0</v>
      </c>
      <c r="L299" s="8" t="n">
        <v>1</v>
      </c>
    </row>
    <row r="300" customFormat="false" ht="15" hidden="false" customHeight="true" outlineLevel="0" collapsed="false">
      <c r="A300" s="10" t="s">
        <v>25</v>
      </c>
      <c r="B300" s="10" t="s">
        <v>231</v>
      </c>
      <c r="C300" s="8" t="n">
        <v>21</v>
      </c>
      <c r="D300" s="8" t="s">
        <v>422</v>
      </c>
      <c r="E300" s="8" t="n">
        <v>1648</v>
      </c>
      <c r="F300" s="8" t="n">
        <v>52.9</v>
      </c>
      <c r="G300" s="8" t="n">
        <v>4</v>
      </c>
      <c r="H300" s="8" t="n">
        <v>0</v>
      </c>
      <c r="I300" s="8" t="n">
        <v>0</v>
      </c>
      <c r="J300" s="9" t="n">
        <f aca="false">IF(E300=0,"",G300/E300*100)</f>
        <v>0.242718446601942</v>
      </c>
      <c r="K300" s="9" t="n">
        <f aca="false">IF(E300=0,"",I300/E300*1000)</f>
        <v>0</v>
      </c>
      <c r="L300" s="8" t="n">
        <v>1</v>
      </c>
    </row>
    <row r="301" customFormat="false" ht="15" hidden="false" customHeight="true" outlineLevel="0" collapsed="false">
      <c r="A301" s="10" t="s">
        <v>25</v>
      </c>
      <c r="B301" s="10" t="s">
        <v>234</v>
      </c>
      <c r="C301" s="8" t="n">
        <v>20</v>
      </c>
      <c r="D301" s="8" t="s">
        <v>423</v>
      </c>
      <c r="E301" s="8" t="n">
        <v>1364</v>
      </c>
      <c r="F301" s="8" t="n">
        <v>47.8</v>
      </c>
      <c r="G301" s="8" t="n">
        <v>5</v>
      </c>
      <c r="H301" s="8" t="n">
        <v>0</v>
      </c>
      <c r="I301" s="8" t="n">
        <v>2</v>
      </c>
      <c r="J301" s="9" t="n">
        <f aca="false">IF(E301=0,"",G301/E301*100)</f>
        <v>0.366568914956012</v>
      </c>
      <c r="K301" s="9" t="n">
        <f aca="false">IF(E301=0,"",I301/E301*1000)</f>
        <v>1.46627565982405</v>
      </c>
      <c r="L301" s="8" t="n">
        <v>1</v>
      </c>
    </row>
    <row r="302" customFormat="false" ht="15" hidden="false" customHeight="true" outlineLevel="0" collapsed="false">
      <c r="A302" s="10" t="s">
        <v>25</v>
      </c>
      <c r="B302" s="10" t="s">
        <v>236</v>
      </c>
      <c r="C302" s="8" t="n">
        <v>19</v>
      </c>
      <c r="D302" s="8" t="s">
        <v>424</v>
      </c>
      <c r="E302" s="8" t="n">
        <v>1464</v>
      </c>
      <c r="F302" s="8" t="n">
        <v>65.5</v>
      </c>
      <c r="G302" s="8" t="n">
        <v>5</v>
      </c>
      <c r="H302" s="8" t="n">
        <v>0</v>
      </c>
      <c r="I302" s="8" t="n">
        <v>0</v>
      </c>
      <c r="J302" s="9" t="n">
        <f aca="false">IF(E302=0,"",G302/E302*100)</f>
        <v>0.341530054644809</v>
      </c>
      <c r="K302" s="9" t="n">
        <f aca="false">IF(E302=0,"",I302/E302*1000)</f>
        <v>0</v>
      </c>
      <c r="L302" s="8" t="n">
        <v>1</v>
      </c>
    </row>
    <row r="303" customFormat="false" ht="15" hidden="false" customHeight="true" outlineLevel="0" collapsed="false">
      <c r="A303" s="10" t="s">
        <v>25</v>
      </c>
      <c r="B303" s="10" t="s">
        <v>240</v>
      </c>
      <c r="C303" s="8" t="n">
        <v>18</v>
      </c>
      <c r="D303" s="8" t="s">
        <v>425</v>
      </c>
      <c r="E303" s="8" t="n">
        <v>1460</v>
      </c>
      <c r="F303" s="8" t="n">
        <v>53.2</v>
      </c>
      <c r="G303" s="8" t="n">
        <v>10</v>
      </c>
      <c r="H303" s="8" t="n">
        <v>0</v>
      </c>
      <c r="I303" s="8" t="n">
        <v>0</v>
      </c>
      <c r="J303" s="9" t="n">
        <f aca="false">IF(E303=0,"",G303/E303*100)</f>
        <v>0.684931506849315</v>
      </c>
      <c r="K303" s="9" t="n">
        <f aca="false">IF(E303=0,"",I303/E303*1000)</f>
        <v>0</v>
      </c>
      <c r="L303" s="8" t="n">
        <v>1</v>
      </c>
    </row>
    <row r="304" customFormat="false" ht="15" hidden="false" customHeight="true" outlineLevel="0" collapsed="false">
      <c r="A304" s="10" t="s">
        <v>25</v>
      </c>
      <c r="B304" s="10" t="s">
        <v>244</v>
      </c>
      <c r="C304" s="8" t="n">
        <v>17</v>
      </c>
      <c r="D304" s="8" t="s">
        <v>426</v>
      </c>
      <c r="E304" s="8" t="n">
        <v>1818</v>
      </c>
      <c r="F304" s="8" t="n">
        <v>61.5</v>
      </c>
      <c r="G304" s="8" t="n">
        <v>6</v>
      </c>
      <c r="H304" s="8" t="n">
        <v>1</v>
      </c>
      <c r="I304" s="8" t="n">
        <v>2</v>
      </c>
      <c r="J304" s="9" t="n">
        <f aca="false">IF(E304=0,"",G304/E304*100)</f>
        <v>0.33003300330033</v>
      </c>
      <c r="K304" s="9" t="n">
        <f aca="false">IF(E304=0,"",I304/E304*1000)</f>
        <v>1.1001100110011</v>
      </c>
      <c r="L304" s="8" t="n">
        <v>1</v>
      </c>
    </row>
    <row r="305" customFormat="false" ht="15" hidden="false" customHeight="true" outlineLevel="0" collapsed="false">
      <c r="A305" s="10" t="s">
        <v>25</v>
      </c>
      <c r="B305" s="10" t="s">
        <v>248</v>
      </c>
      <c r="C305" s="8" t="n">
        <v>15</v>
      </c>
      <c r="D305" s="8" t="s">
        <v>427</v>
      </c>
      <c r="E305" s="8" t="n">
        <v>1887</v>
      </c>
      <c r="F305" s="8" t="n">
        <v>50.2</v>
      </c>
      <c r="G305" s="8" t="n">
        <v>5</v>
      </c>
      <c r="H305" s="8" t="n">
        <v>0</v>
      </c>
      <c r="I305" s="8" t="n">
        <v>0</v>
      </c>
      <c r="J305" s="9" t="n">
        <f aca="false">IF(E305=0,"",G305/E305*100)</f>
        <v>0.264970853206147</v>
      </c>
      <c r="K305" s="9" t="n">
        <f aca="false">IF(E305=0,"",I305/E305*1000)</f>
        <v>0</v>
      </c>
      <c r="L305" s="8" t="n">
        <v>1</v>
      </c>
    </row>
    <row r="306" customFormat="false" ht="15" hidden="false" customHeight="true" outlineLevel="0" collapsed="false">
      <c r="A306" s="10" t="s">
        <v>25</v>
      </c>
      <c r="B306" s="10" t="s">
        <v>75</v>
      </c>
      <c r="C306" s="8" t="n">
        <v>14</v>
      </c>
      <c r="D306" s="10" t="s">
        <v>428</v>
      </c>
      <c r="E306" s="8" t="n">
        <v>1667</v>
      </c>
      <c r="F306" s="8" t="n">
        <v>76.6</v>
      </c>
      <c r="G306" s="8" t="n">
        <v>4</v>
      </c>
      <c r="H306" s="8" t="n">
        <v>0</v>
      </c>
      <c r="I306" s="8" t="n">
        <v>0</v>
      </c>
      <c r="J306" s="9" t="n">
        <f aca="false">IF(E306=0,"",G306/E306*100)</f>
        <v>0.23995200959808</v>
      </c>
      <c r="K306" s="9" t="n">
        <f aca="false">IF(E306=0,"",I306/E306*1000)</f>
        <v>0</v>
      </c>
      <c r="L306" s="8" t="n">
        <v>1</v>
      </c>
    </row>
    <row r="307" customFormat="false" ht="15" hidden="false" customHeight="true" outlineLevel="0" collapsed="false">
      <c r="A307" s="10" t="s">
        <v>25</v>
      </c>
      <c r="B307" s="10" t="s">
        <v>75</v>
      </c>
      <c r="C307" s="8" t="n">
        <v>14</v>
      </c>
      <c r="D307" s="8" t="s">
        <v>429</v>
      </c>
      <c r="E307" s="8" t="n">
        <v>1299</v>
      </c>
      <c r="F307" s="8" t="n">
        <v>47.5</v>
      </c>
      <c r="G307" s="8" t="n">
        <v>4</v>
      </c>
      <c r="H307" s="8" t="n">
        <v>0</v>
      </c>
      <c r="I307" s="8" t="n">
        <v>0</v>
      </c>
      <c r="J307" s="9" t="n">
        <f aca="false">IF(E307=0,"",G307/E307*100)</f>
        <v>0.307929176289453</v>
      </c>
      <c r="K307" s="9" t="n">
        <f aca="false">IF(E307=0,"",I307/E307*1000)</f>
        <v>0</v>
      </c>
      <c r="L307" s="8" t="n">
        <v>1</v>
      </c>
    </row>
    <row r="308" customFormat="false" ht="15" hidden="false" customHeight="true" outlineLevel="0" collapsed="false">
      <c r="A308" s="10" t="s">
        <v>25</v>
      </c>
      <c r="B308" s="10" t="s">
        <v>254</v>
      </c>
      <c r="C308" s="8" t="n">
        <v>13</v>
      </c>
      <c r="D308" s="8" t="s">
        <v>430</v>
      </c>
      <c r="E308" s="8" t="n">
        <v>1915</v>
      </c>
      <c r="F308" s="8" t="n">
        <v>54.4</v>
      </c>
      <c r="G308" s="8" t="n">
        <v>8</v>
      </c>
      <c r="H308" s="8" t="n">
        <v>0</v>
      </c>
      <c r="I308" s="8" t="n">
        <v>0</v>
      </c>
      <c r="J308" s="9" t="n">
        <f aca="false">IF(E308=0,"",G308/E308*100)</f>
        <v>0.417754569190601</v>
      </c>
      <c r="K308" s="9" t="n">
        <f aca="false">IF(E308=0,"",I308/E308*1000)</f>
        <v>0</v>
      </c>
      <c r="L308" s="8" t="n">
        <v>1</v>
      </c>
    </row>
    <row r="309" customFormat="false" ht="15" hidden="false" customHeight="true" outlineLevel="0" collapsed="false">
      <c r="A309" s="10" t="s">
        <v>25</v>
      </c>
      <c r="B309" s="10" t="s">
        <v>258</v>
      </c>
      <c r="C309" s="8" t="n">
        <v>12</v>
      </c>
      <c r="D309" s="8" t="s">
        <v>431</v>
      </c>
      <c r="E309" s="8" t="n">
        <v>1703</v>
      </c>
      <c r="F309" s="8" t="n">
        <v>49.6</v>
      </c>
      <c r="G309" s="8" t="n">
        <v>7</v>
      </c>
      <c r="H309" s="8" t="n">
        <v>0</v>
      </c>
      <c r="I309" s="8" t="n">
        <v>0</v>
      </c>
      <c r="J309" s="9" t="n">
        <f aca="false">IF(E309=0,"",G309/E309*100)</f>
        <v>0.411039342337052</v>
      </c>
      <c r="K309" s="9" t="n">
        <f aca="false">IF(E309=0,"",I309/E309*1000)</f>
        <v>0</v>
      </c>
      <c r="L309" s="8" t="n">
        <v>1</v>
      </c>
    </row>
    <row r="310" customFormat="false" ht="15" hidden="false" customHeight="true" outlineLevel="0" collapsed="false">
      <c r="A310" s="10" t="s">
        <v>25</v>
      </c>
      <c r="B310" s="10" t="s">
        <v>260</v>
      </c>
      <c r="C310" s="8" t="n">
        <v>11</v>
      </c>
      <c r="D310" s="8" t="s">
        <v>432</v>
      </c>
      <c r="E310" s="8" t="n">
        <v>1692</v>
      </c>
      <c r="F310" s="8" t="n">
        <v>38.7</v>
      </c>
      <c r="G310" s="8" t="n">
        <v>4</v>
      </c>
      <c r="H310" s="8" t="n">
        <v>0</v>
      </c>
      <c r="I310" s="8" t="n">
        <v>0</v>
      </c>
      <c r="J310" s="9" t="n">
        <f aca="false">IF(E310=0,"",G310/E310*100)</f>
        <v>0.236406619385343</v>
      </c>
      <c r="K310" s="9" t="n">
        <f aca="false">IF(E310=0,"",I310/E310*1000)</f>
        <v>0</v>
      </c>
      <c r="L310" s="8" t="n">
        <v>1</v>
      </c>
    </row>
    <row r="311" customFormat="false" ht="15" hidden="false" customHeight="true" outlineLevel="0" collapsed="false">
      <c r="A311" s="10" t="s">
        <v>25</v>
      </c>
      <c r="B311" s="10" t="s">
        <v>77</v>
      </c>
      <c r="C311" s="8" t="n">
        <v>10</v>
      </c>
      <c r="D311" s="8" t="s">
        <v>433</v>
      </c>
      <c r="E311" s="8" t="n">
        <v>2233</v>
      </c>
      <c r="F311" s="8" t="n">
        <v>86.3</v>
      </c>
      <c r="G311" s="8" t="n">
        <v>11</v>
      </c>
      <c r="H311" s="8" t="n">
        <v>0</v>
      </c>
      <c r="I311" s="8" t="n">
        <v>0</v>
      </c>
      <c r="J311" s="9" t="n">
        <f aca="false">IF(E311=0,"",G311/E311*100)</f>
        <v>0.492610837438424</v>
      </c>
      <c r="K311" s="9" t="n">
        <f aca="false">IF(E311=0,"",I311/E311*1000)</f>
        <v>0</v>
      </c>
      <c r="L311" s="8" t="n">
        <v>1</v>
      </c>
    </row>
    <row r="312" customFormat="false" ht="15" hidden="false" customHeight="true" outlineLevel="0" collapsed="false">
      <c r="A312" s="10" t="s">
        <v>25</v>
      </c>
      <c r="B312" s="10" t="s">
        <v>80</v>
      </c>
      <c r="C312" s="8" t="n">
        <v>9</v>
      </c>
      <c r="D312" s="8" t="s">
        <v>434</v>
      </c>
      <c r="E312" s="8" t="n">
        <v>1944</v>
      </c>
      <c r="F312" s="8" t="n">
        <v>76.5</v>
      </c>
      <c r="G312" s="8" t="n">
        <v>2</v>
      </c>
      <c r="H312" s="8" t="n">
        <v>0</v>
      </c>
      <c r="I312" s="8" t="n">
        <v>0</v>
      </c>
      <c r="J312" s="9" t="n">
        <f aca="false">IF(E312=0,"",G312/E312*100)</f>
        <v>0.102880658436214</v>
      </c>
      <c r="K312" s="9" t="n">
        <f aca="false">IF(E312=0,"",I312/E312*1000)</f>
        <v>0</v>
      </c>
      <c r="L312" s="8" t="n">
        <v>1</v>
      </c>
    </row>
    <row r="313" customFormat="false" ht="15" hidden="false" customHeight="true" outlineLevel="0" collapsed="false">
      <c r="A313" s="10" t="s">
        <v>25</v>
      </c>
      <c r="B313" s="10" t="s">
        <v>83</v>
      </c>
      <c r="C313" s="8" t="n">
        <v>8</v>
      </c>
      <c r="D313" s="8" t="s">
        <v>435</v>
      </c>
      <c r="E313" s="8" t="n">
        <v>1171</v>
      </c>
      <c r="F313" s="8" t="n">
        <v>65</v>
      </c>
      <c r="G313" s="8" t="n">
        <v>10</v>
      </c>
      <c r="H313" s="8" t="n">
        <v>0</v>
      </c>
      <c r="I313" s="8" t="n">
        <v>2</v>
      </c>
      <c r="J313" s="9" t="n">
        <f aca="false">IF(E313=0,"",G313/E313*100)</f>
        <v>0.85397096498719</v>
      </c>
      <c r="K313" s="9" t="n">
        <f aca="false">IF(E313=0,"",I313/E313*1000)</f>
        <v>1.70794192997438</v>
      </c>
      <c r="L313" s="8" t="n">
        <v>1</v>
      </c>
    </row>
    <row r="314" customFormat="false" ht="15" hidden="false" customHeight="true" outlineLevel="0" collapsed="false">
      <c r="A314" s="10" t="s">
        <v>25</v>
      </c>
      <c r="B314" s="10" t="s">
        <v>88</v>
      </c>
      <c r="C314" s="8" t="n">
        <v>6</v>
      </c>
      <c r="D314" s="8" t="s">
        <v>436</v>
      </c>
      <c r="E314" s="8" t="n">
        <v>2340</v>
      </c>
      <c r="F314" s="8" t="n">
        <v>34.3</v>
      </c>
      <c r="G314" s="8" t="n">
        <v>3</v>
      </c>
      <c r="H314" s="8" t="n">
        <v>0</v>
      </c>
      <c r="I314" s="8" t="n">
        <v>0</v>
      </c>
      <c r="J314" s="9" t="n">
        <f aca="false">IF(E314=0,"",G314/E314*100)</f>
        <v>0.128205128205128</v>
      </c>
      <c r="K314" s="9" t="n">
        <f aca="false">IF(E314=0,"",I314/E314*1000)</f>
        <v>0</v>
      </c>
      <c r="L314" s="8" t="n">
        <v>1</v>
      </c>
    </row>
    <row r="315" customFormat="false" ht="15" hidden="false" customHeight="true" outlineLevel="0" collapsed="false">
      <c r="A315" s="10" t="s">
        <v>25</v>
      </c>
      <c r="B315" s="10" t="s">
        <v>94</v>
      </c>
      <c r="C315" s="8" t="n">
        <v>5</v>
      </c>
      <c r="D315" s="8" t="s">
        <v>437</v>
      </c>
      <c r="E315" s="8" t="n">
        <v>1904</v>
      </c>
      <c r="F315" s="8" t="n">
        <v>57.5</v>
      </c>
      <c r="G315" s="8" t="n">
        <v>7</v>
      </c>
      <c r="H315" s="8" t="n">
        <v>0</v>
      </c>
      <c r="I315" s="8" t="n">
        <v>1</v>
      </c>
      <c r="J315" s="9" t="n">
        <f aca="false">IF(E315=0,"",G315/E315*100)</f>
        <v>0.367647058823529</v>
      </c>
      <c r="K315" s="9" t="n">
        <f aca="false">IF(E315=0,"",I315/E315*1000)</f>
        <v>0.525210084033614</v>
      </c>
      <c r="L315" s="8" t="n">
        <v>0</v>
      </c>
    </row>
    <row r="316" customFormat="false" ht="15" hidden="false" customHeight="true" outlineLevel="0" collapsed="false">
      <c r="A316" s="10" t="s">
        <v>25</v>
      </c>
      <c r="B316" s="10" t="s">
        <v>97</v>
      </c>
      <c r="C316" s="8" t="n">
        <v>4</v>
      </c>
      <c r="D316" s="8" t="s">
        <v>438</v>
      </c>
      <c r="E316" s="8" t="n">
        <v>1107</v>
      </c>
      <c r="F316" s="8" t="n">
        <v>41.4</v>
      </c>
      <c r="G316" s="8" t="n">
        <v>6</v>
      </c>
      <c r="H316" s="8" t="n">
        <v>0</v>
      </c>
      <c r="I316" s="8" t="n">
        <v>1</v>
      </c>
      <c r="J316" s="9" t="n">
        <f aca="false">IF(E316=0,"",G316/E316*100)</f>
        <v>0.542005420054201</v>
      </c>
      <c r="K316" s="9" t="n">
        <f aca="false">IF(E316=0,"",I316/E316*1000)</f>
        <v>0.903342366757001</v>
      </c>
      <c r="L316" s="8" t="n">
        <v>0</v>
      </c>
    </row>
    <row r="317" customFormat="false" ht="15" hidden="false" customHeight="true" outlineLevel="0" collapsed="false">
      <c r="A317" s="10" t="s">
        <v>25</v>
      </c>
      <c r="B317" s="10" t="s">
        <v>100</v>
      </c>
      <c r="C317" s="8" t="n">
        <v>3</v>
      </c>
      <c r="D317" s="10" t="s">
        <v>439</v>
      </c>
      <c r="E317" s="8" t="n">
        <v>173</v>
      </c>
      <c r="F317" s="8" t="n">
        <v>33</v>
      </c>
      <c r="G317" s="8" t="n">
        <v>3</v>
      </c>
      <c r="H317" s="8" t="n">
        <v>0</v>
      </c>
      <c r="I317" s="8" t="n">
        <v>0</v>
      </c>
      <c r="J317" s="9" t="n">
        <f aca="false">IF(E317=0,"",G317/E317*100)</f>
        <v>1.73410404624277</v>
      </c>
      <c r="K317" s="9" t="n">
        <f aca="false">IF(E317=0,"",I317/E317*1000)</f>
        <v>0</v>
      </c>
      <c r="L317" s="8" t="n">
        <v>0</v>
      </c>
    </row>
    <row r="318" customFormat="false" ht="15" hidden="false" customHeight="true" outlineLevel="0" collapsed="false">
      <c r="A318" s="10" t="s">
        <v>25</v>
      </c>
      <c r="B318" s="10" t="s">
        <v>103</v>
      </c>
      <c r="C318" s="8" t="n">
        <v>2</v>
      </c>
      <c r="D318" s="10" t="s">
        <v>440</v>
      </c>
      <c r="E318" s="8" t="n">
        <v>249</v>
      </c>
      <c r="F318" s="8" t="n">
        <v>29.8</v>
      </c>
      <c r="G318" s="8" t="n">
        <v>1</v>
      </c>
      <c r="H318" s="8" t="n">
        <v>0</v>
      </c>
      <c r="I318" s="8" t="n">
        <v>0</v>
      </c>
      <c r="J318" s="9" t="n">
        <f aca="false">IF(E318=0,"",G318/E318*100)</f>
        <v>0.401606425702811</v>
      </c>
      <c r="K318" s="9" t="n">
        <f aca="false">IF(E318=0,"",I318/E318*1000)</f>
        <v>0</v>
      </c>
      <c r="L318" s="8" t="n">
        <v>0</v>
      </c>
    </row>
  </sheetData>
  <autoFilter ref="A4:L318"/>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5"/>
    <col collapsed="false" customWidth="true" hidden="false" outlineLevel="0" max="2" min="2" style="1" width="10"/>
    <col collapsed="false" customWidth="true" hidden="false" outlineLevel="0" max="3" min="3" style="1" width="20"/>
    <col collapsed="false" customWidth="true" hidden="false" outlineLevel="0" max="4" min="4" style="1" width="42"/>
    <col collapsed="false" customWidth="true" hidden="false" outlineLevel="0" max="5" min="5" style="1" width="52"/>
    <col collapsed="false" customWidth="true" hidden="false" outlineLevel="0" max="6" min="6" style="1" width="38"/>
  </cols>
  <sheetData>
    <row r="1" customFormat="false" ht="21" hidden="false" customHeight="true" outlineLevel="0" collapsed="false">
      <c r="A1" s="22" t="s">
        <v>441</v>
      </c>
    </row>
    <row r="3" customFormat="false" ht="30" hidden="false" customHeight="true" outlineLevel="0" collapsed="false">
      <c r="A3" s="29" t="s">
        <v>442</v>
      </c>
      <c r="B3" s="5" t="s">
        <v>443</v>
      </c>
      <c r="C3" s="5" t="s">
        <v>444</v>
      </c>
      <c r="D3" s="5" t="s">
        <v>445</v>
      </c>
      <c r="E3" s="5" t="s">
        <v>446</v>
      </c>
      <c r="F3" s="5" t="s">
        <v>447</v>
      </c>
    </row>
    <row r="4" customFormat="false" ht="57.75" hidden="false" customHeight="true" outlineLevel="0" collapsed="false">
      <c r="A4" s="8" t="n">
        <v>1</v>
      </c>
      <c r="B4" s="30" t="s">
        <v>448</v>
      </c>
      <c r="C4" s="8" t="s">
        <v>449</v>
      </c>
      <c r="D4" s="31" t="s">
        <v>450</v>
      </c>
      <c r="E4" s="31" t="s">
        <v>451</v>
      </c>
      <c r="F4" s="32" t="s">
        <v>452</v>
      </c>
    </row>
    <row r="5" customFormat="false" ht="57.75" hidden="false" customHeight="true" outlineLevel="0" collapsed="false">
      <c r="A5" s="8" t="n">
        <v>2</v>
      </c>
      <c r="B5" s="30" t="s">
        <v>448</v>
      </c>
      <c r="C5" s="10" t="s">
        <v>26</v>
      </c>
      <c r="D5" s="32" t="s">
        <v>453</v>
      </c>
      <c r="E5" s="31" t="s">
        <v>454</v>
      </c>
      <c r="F5" s="31" t="s">
        <v>455</v>
      </c>
    </row>
    <row r="6" customFormat="false" ht="57.75" hidden="false" customHeight="true" outlineLevel="0" collapsed="false">
      <c r="A6" s="8" t="n">
        <v>3</v>
      </c>
      <c r="B6" s="30" t="s">
        <v>448</v>
      </c>
      <c r="C6" s="10" t="s">
        <v>23</v>
      </c>
      <c r="D6" s="32" t="s">
        <v>456</v>
      </c>
      <c r="E6" s="32" t="s">
        <v>457</v>
      </c>
      <c r="F6" s="32" t="s">
        <v>458</v>
      </c>
    </row>
    <row r="7" customFormat="false" ht="57.75" hidden="false" customHeight="true" outlineLevel="0" collapsed="false">
      <c r="A7" s="8" t="n">
        <v>4</v>
      </c>
      <c r="B7" s="30" t="s">
        <v>448</v>
      </c>
      <c r="C7" s="10" t="s">
        <v>459</v>
      </c>
      <c r="D7" s="31" t="s">
        <v>460</v>
      </c>
      <c r="E7" s="32" t="s">
        <v>461</v>
      </c>
      <c r="F7" s="31" t="s">
        <v>462</v>
      </c>
    </row>
    <row r="8" customFormat="false" ht="57.75" hidden="false" customHeight="true" outlineLevel="0" collapsed="false">
      <c r="A8" s="8" t="n">
        <v>5</v>
      </c>
      <c r="B8" s="33" t="s">
        <v>463</v>
      </c>
      <c r="C8" s="8" t="s">
        <v>464</v>
      </c>
      <c r="D8" s="31" t="s">
        <v>465</v>
      </c>
      <c r="E8" s="32" t="s">
        <v>466</v>
      </c>
      <c r="F8" s="32" t="s">
        <v>467</v>
      </c>
    </row>
    <row r="9" customFormat="false" ht="57.75" hidden="false" customHeight="true" outlineLevel="0" collapsed="false">
      <c r="A9" s="8" t="n">
        <v>6</v>
      </c>
      <c r="B9" s="34" t="s">
        <v>468</v>
      </c>
      <c r="C9" s="8" t="s">
        <v>469</v>
      </c>
      <c r="D9" s="31" t="s">
        <v>470</v>
      </c>
      <c r="E9" s="31" t="s">
        <v>471</v>
      </c>
      <c r="F9" s="32" t="s">
        <v>472</v>
      </c>
    </row>
    <row r="10" customFormat="false" ht="57.75" hidden="false" customHeight="true" outlineLevel="0" collapsed="false">
      <c r="A10" s="8" t="n">
        <v>7</v>
      </c>
      <c r="B10" s="34" t="s">
        <v>473</v>
      </c>
      <c r="C10" s="8" t="s">
        <v>474</v>
      </c>
      <c r="D10" s="31" t="s">
        <v>475</v>
      </c>
      <c r="E10" s="31" t="s">
        <v>476</v>
      </c>
      <c r="F10" s="31" t="s">
        <v>477</v>
      </c>
    </row>
    <row r="11" customFormat="false" ht="57.75" hidden="false" customHeight="true" outlineLevel="0" collapsed="false">
      <c r="A11" s="8" t="n">
        <v>8</v>
      </c>
      <c r="B11" s="34" t="s">
        <v>473</v>
      </c>
      <c r="C11" s="8" t="s">
        <v>478</v>
      </c>
      <c r="D11" s="31" t="s">
        <v>479</v>
      </c>
      <c r="E11" s="31" t="s">
        <v>480</v>
      </c>
      <c r="F11" s="31" t="s">
        <v>481</v>
      </c>
    </row>
    <row r="12" customFormat="false" ht="57.75" hidden="false" customHeight="true" outlineLevel="0" collapsed="false">
      <c r="A12" s="8" t="n">
        <v>9</v>
      </c>
      <c r="B12" s="35" t="s">
        <v>482</v>
      </c>
      <c r="C12" s="8" t="s">
        <v>469</v>
      </c>
      <c r="D12" s="31" t="s">
        <v>483</v>
      </c>
      <c r="E12" s="31" t="s">
        <v>484</v>
      </c>
      <c r="F12" s="31" t="s">
        <v>485</v>
      </c>
    </row>
    <row r="13" customFormat="false" ht="57.75" hidden="false" customHeight="true" outlineLevel="0" collapsed="false">
      <c r="A13" s="8" t="n">
        <v>10</v>
      </c>
      <c r="B13" s="35" t="s">
        <v>486</v>
      </c>
      <c r="C13" s="8" t="s">
        <v>469</v>
      </c>
      <c r="D13" s="32" t="s">
        <v>487</v>
      </c>
      <c r="E13" s="31" t="s">
        <v>488</v>
      </c>
      <c r="F13" s="32" t="s">
        <v>489</v>
      </c>
    </row>
    <row r="15" customFormat="false" ht="57.75" hidden="false" customHeight="true" outlineLevel="0" collapsed="false">
      <c r="A15" s="21" t="s">
        <v>490</v>
      </c>
      <c r="D15" s="36" t="s">
        <v>491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10"/>
    <col collapsed="false" customWidth="true" hidden="false" outlineLevel="0" max="2" min="2" style="1" width="18"/>
    <col collapsed="false" customWidth="true" hidden="false" outlineLevel="0" max="3" min="3" style="1" width="8"/>
    <col collapsed="false" customWidth="true" hidden="false" outlineLevel="0" max="4" min="4" style="1" width="15"/>
    <col collapsed="false" customWidth="true" hidden="false" outlineLevel="0" max="5" min="5" style="1" width="12"/>
    <col collapsed="false" customWidth="true" hidden="false" outlineLevel="0" max="6" min="6" style="1" width="15"/>
  </cols>
  <sheetData>
    <row r="1" customFormat="false" ht="17.25" hidden="false" customHeight="true" outlineLevel="0" collapsed="false">
      <c r="A1" s="22" t="s">
        <v>492</v>
      </c>
    </row>
    <row r="3" customFormat="false" ht="15" hidden="false" customHeight="true" outlineLevel="0" collapsed="false">
      <c r="A3" s="4" t="s">
        <v>493</v>
      </c>
    </row>
    <row r="4" customFormat="false" ht="30" hidden="false" customHeight="true" outlineLevel="0" collapsed="false">
      <c r="A4" s="5" t="s">
        <v>494</v>
      </c>
      <c r="B4" s="5" t="s">
        <v>495</v>
      </c>
      <c r="C4" s="5" t="s">
        <v>44</v>
      </c>
      <c r="D4" s="5" t="s">
        <v>46</v>
      </c>
      <c r="E4" s="5" t="s">
        <v>21</v>
      </c>
      <c r="F4" s="5" t="s">
        <v>45</v>
      </c>
    </row>
    <row r="5" customFormat="false" ht="15" hidden="false" customHeight="true" outlineLevel="0" collapsed="false">
      <c r="A5" s="10" t="s">
        <v>496</v>
      </c>
      <c r="B5" s="25" t="n">
        <v>20</v>
      </c>
      <c r="C5" s="13" t="n">
        <v>984</v>
      </c>
      <c r="D5" s="24" t="n">
        <v>0.46</v>
      </c>
      <c r="E5" s="24" t="n">
        <v>0.309</v>
      </c>
      <c r="F5" s="23" t="n">
        <v>47.6</v>
      </c>
    </row>
    <row r="6" customFormat="false" ht="15" hidden="false" customHeight="true" outlineLevel="0" collapsed="false">
      <c r="A6" s="10" t="s">
        <v>122</v>
      </c>
      <c r="B6" s="25" t="n">
        <v>33</v>
      </c>
      <c r="C6" s="13" t="n">
        <v>1103</v>
      </c>
      <c r="D6" s="24" t="n">
        <v>0.434</v>
      </c>
      <c r="E6" s="24" t="n">
        <v>0.58</v>
      </c>
      <c r="F6" s="23" t="n">
        <v>51.5</v>
      </c>
    </row>
    <row r="7" customFormat="false" ht="15" hidden="false" customHeight="true" outlineLevel="0" collapsed="false">
      <c r="A7" s="10" t="s">
        <v>148</v>
      </c>
      <c r="B7" s="25" t="n">
        <v>35</v>
      </c>
      <c r="C7" s="13" t="n">
        <v>1062</v>
      </c>
      <c r="D7" s="24" t="n">
        <v>0.461</v>
      </c>
      <c r="E7" s="24" t="n">
        <v>0.475</v>
      </c>
      <c r="F7" s="23" t="n">
        <v>50.3</v>
      </c>
    </row>
    <row r="8" customFormat="false" ht="15" hidden="false" customHeight="true" outlineLevel="0" collapsed="false">
      <c r="A8" s="10" t="s">
        <v>174</v>
      </c>
      <c r="B8" s="25" t="n">
        <v>32</v>
      </c>
      <c r="C8" s="13" t="n">
        <v>968</v>
      </c>
      <c r="D8" s="24" t="n">
        <v>0.499</v>
      </c>
      <c r="E8" s="24" t="n">
        <v>0.635</v>
      </c>
      <c r="F8" s="23" t="n">
        <v>50.9</v>
      </c>
    </row>
    <row r="9" customFormat="false" ht="15" hidden="false" customHeight="true" outlineLevel="0" collapsed="false">
      <c r="A9" s="10" t="s">
        <v>202</v>
      </c>
      <c r="B9" s="25" t="n">
        <v>16</v>
      </c>
      <c r="C9" s="13" t="n">
        <v>919</v>
      </c>
      <c r="D9" s="24" t="n">
        <v>0.409</v>
      </c>
      <c r="E9" s="24" t="n">
        <v>0.487</v>
      </c>
      <c r="F9" s="23" t="n">
        <v>57.6</v>
      </c>
    </row>
    <row r="10" customFormat="false" ht="15" hidden="false" customHeight="true" outlineLevel="0" collapsed="false">
      <c r="A10" s="10" t="s">
        <v>380</v>
      </c>
      <c r="B10" s="25" t="n">
        <v>26</v>
      </c>
      <c r="C10" s="13" t="n">
        <v>1195</v>
      </c>
      <c r="D10" s="24" t="n">
        <v>0.307</v>
      </c>
      <c r="E10" s="24" t="n">
        <v>0.688</v>
      </c>
      <c r="F10" s="23" t="n">
        <v>58.5</v>
      </c>
    </row>
    <row r="11" customFormat="false" ht="15" hidden="false" customHeight="true" outlineLevel="0" collapsed="false">
      <c r="A11" s="10" t="s">
        <v>234</v>
      </c>
      <c r="B11" s="25" t="n">
        <v>42</v>
      </c>
      <c r="C11" s="13" t="n">
        <v>1066</v>
      </c>
      <c r="D11" s="24" t="n">
        <v>0.362</v>
      </c>
      <c r="E11" s="24" t="n">
        <v>0.532</v>
      </c>
      <c r="F11" s="23" t="n">
        <v>52.6</v>
      </c>
    </row>
    <row r="12" customFormat="false" ht="15" hidden="false" customHeight="true" outlineLevel="0" collapsed="false">
      <c r="A12" s="10" t="s">
        <v>254</v>
      </c>
      <c r="B12" s="25" t="n">
        <v>32</v>
      </c>
      <c r="C12" s="13" t="n">
        <v>1238</v>
      </c>
      <c r="D12" s="24" t="n">
        <v>0.269</v>
      </c>
      <c r="E12" s="24" t="n">
        <v>0.266</v>
      </c>
      <c r="F12" s="23" t="n">
        <v>53.3</v>
      </c>
    </row>
    <row r="13" customFormat="false" ht="15" hidden="false" customHeight="true" outlineLevel="0" collapsed="false">
      <c r="A13" s="10" t="s">
        <v>88</v>
      </c>
      <c r="B13" s="25" t="n">
        <v>9</v>
      </c>
      <c r="C13" s="13" t="n">
        <v>1161</v>
      </c>
      <c r="D13" s="24" t="n">
        <v>0.296</v>
      </c>
      <c r="E13" s="24" t="n">
        <v>0</v>
      </c>
      <c r="F13" s="23" t="n">
        <v>53.7</v>
      </c>
    </row>
    <row r="14" customFormat="false" ht="15" hidden="false" customHeight="true" outlineLevel="0" collapsed="false">
      <c r="A14" s="28" t="s">
        <v>497</v>
      </c>
    </row>
    <row r="16" customFormat="false" ht="16.5" hidden="false" customHeight="true" outlineLevel="0" collapsed="false">
      <c r="A16" s="4" t="s">
        <v>498</v>
      </c>
    </row>
    <row r="17" customFormat="false" ht="30" hidden="false" customHeight="true" outlineLevel="0" collapsed="false">
      <c r="A17" s="5" t="s">
        <v>499</v>
      </c>
      <c r="B17" s="5" t="s">
        <v>500</v>
      </c>
      <c r="C17" s="5" t="s">
        <v>45</v>
      </c>
    </row>
    <row r="18" customFormat="false" ht="15" hidden="false" customHeight="true" outlineLevel="0" collapsed="false">
      <c r="A18" s="25" t="n">
        <v>2</v>
      </c>
      <c r="B18" s="25" t="n">
        <v>24</v>
      </c>
      <c r="C18" s="23" t="n">
        <v>48.5</v>
      </c>
    </row>
    <row r="19" customFormat="false" ht="15" hidden="false" customHeight="true" outlineLevel="0" collapsed="false">
      <c r="A19" s="25" t="n">
        <v>3</v>
      </c>
      <c r="B19" s="25" t="n">
        <v>70</v>
      </c>
      <c r="C19" s="23" t="n">
        <v>51.4</v>
      </c>
    </row>
    <row r="20" customFormat="false" ht="15" hidden="false" customHeight="true" outlineLevel="0" collapsed="false">
      <c r="A20" s="25" t="n">
        <v>4</v>
      </c>
      <c r="B20" s="25" t="n">
        <v>76</v>
      </c>
      <c r="C20" s="23" t="n">
        <v>53.5</v>
      </c>
    </row>
    <row r="21" customFormat="false" ht="15" hidden="false" customHeight="true" outlineLevel="0" collapsed="false">
      <c r="A21" s="25" t="n">
        <v>5</v>
      </c>
      <c r="B21" s="25" t="n">
        <v>65</v>
      </c>
      <c r="C21" s="23" t="n">
        <v>54.4</v>
      </c>
    </row>
    <row r="22" customFormat="false" ht="15" hidden="false" customHeight="true" outlineLevel="0" collapsed="false">
      <c r="A22" s="25" t="n">
        <v>6</v>
      </c>
      <c r="B22" s="25" t="n">
        <v>54</v>
      </c>
      <c r="C22" s="23" t="n">
        <v>55.6</v>
      </c>
    </row>
    <row r="23" customFormat="false" ht="15" hidden="false" customHeight="true" outlineLevel="0" collapsed="false">
      <c r="A23" s="25" t="n">
        <v>7</v>
      </c>
      <c r="B23" s="25" t="n">
        <v>42</v>
      </c>
      <c r="C23" s="23" t="n">
        <v>54</v>
      </c>
    </row>
    <row r="24" customFormat="false" ht="15" hidden="false" customHeight="true" outlineLevel="0" collapsed="false">
      <c r="A24" s="25" t="n">
        <v>8</v>
      </c>
      <c r="B24" s="25" t="n">
        <v>50</v>
      </c>
      <c r="C24" s="23" t="n">
        <v>53.5</v>
      </c>
    </row>
    <row r="25" customFormat="false" ht="15" hidden="false" customHeight="true" outlineLevel="0" collapsed="false">
      <c r="A25" s="25" t="n">
        <v>9</v>
      </c>
      <c r="B25" s="25" t="n">
        <v>46</v>
      </c>
      <c r="C25" s="23" t="n">
        <v>54.8</v>
      </c>
    </row>
    <row r="26" customFormat="false" ht="15" hidden="false" customHeight="true" outlineLevel="0" collapsed="false">
      <c r="A26" s="25" t="n">
        <v>10</v>
      </c>
      <c r="B26" s="25" t="n">
        <v>26</v>
      </c>
      <c r="C26" s="23" t="n">
        <v>55.5</v>
      </c>
    </row>
    <row r="27" customFormat="false" ht="15" hidden="false" customHeight="true" outlineLevel="0" collapsed="false">
      <c r="A27" s="28" t="s">
        <v>501</v>
      </c>
    </row>
    <row r="29" customFormat="false" ht="16.5" hidden="false" customHeight="true" outlineLevel="0" collapsed="false">
      <c r="A29" s="4" t="s">
        <v>502</v>
      </c>
    </row>
    <row r="30" customFormat="false" ht="30" hidden="false" customHeight="true" outlineLevel="0" collapsed="false">
      <c r="A30" s="5" t="s">
        <v>503</v>
      </c>
      <c r="B30" s="5" t="s">
        <v>504</v>
      </c>
      <c r="C30" s="5" t="s">
        <v>495</v>
      </c>
      <c r="D30" s="5" t="s">
        <v>21</v>
      </c>
    </row>
    <row r="31" customFormat="false" ht="15" hidden="false" customHeight="true" outlineLevel="0" collapsed="false">
      <c r="A31" s="10" t="s">
        <v>505</v>
      </c>
      <c r="B31" s="10" t="s">
        <v>506</v>
      </c>
      <c r="C31" s="25" t="n">
        <v>61</v>
      </c>
      <c r="D31" s="24" t="n">
        <v>0.291</v>
      </c>
    </row>
    <row r="32" customFormat="false" ht="15" hidden="false" customHeight="true" outlineLevel="0" collapsed="false">
      <c r="A32" s="10" t="s">
        <v>507</v>
      </c>
      <c r="B32" s="10" t="s">
        <v>508</v>
      </c>
      <c r="C32" s="25" t="n">
        <v>61</v>
      </c>
      <c r="D32" s="24" t="n">
        <v>0.316</v>
      </c>
    </row>
    <row r="33" customFormat="false" ht="15" hidden="false" customHeight="true" outlineLevel="0" collapsed="false">
      <c r="A33" s="10" t="s">
        <v>509</v>
      </c>
      <c r="B33" s="10" t="s">
        <v>510</v>
      </c>
      <c r="C33" s="25" t="n">
        <v>61</v>
      </c>
      <c r="D33" s="24" t="n">
        <v>0.535</v>
      </c>
    </row>
    <row r="34" customFormat="false" ht="15" hidden="false" customHeight="true" outlineLevel="0" collapsed="false">
      <c r="A34" s="10" t="s">
        <v>511</v>
      </c>
      <c r="B34" s="10" t="s">
        <v>512</v>
      </c>
      <c r="C34" s="25" t="n">
        <v>62</v>
      </c>
      <c r="D34" s="24" t="n">
        <v>0.827</v>
      </c>
    </row>
    <row r="35" customFormat="false" ht="15" hidden="false" customHeight="true" outlineLevel="0" collapsed="false">
      <c r="A35" s="28" t="s">
        <v>513</v>
      </c>
    </row>
    <row r="37" customFormat="false" ht="16.5" hidden="false" customHeight="true" outlineLevel="0" collapsed="false">
      <c r="A37" s="4" t="s">
        <v>514</v>
      </c>
    </row>
    <row r="38" customFormat="false" ht="30" hidden="false" customHeight="true" outlineLevel="0" collapsed="false">
      <c r="A38" s="5" t="s">
        <v>503</v>
      </c>
      <c r="B38" s="5" t="s">
        <v>515</v>
      </c>
      <c r="C38" s="5" t="s">
        <v>495</v>
      </c>
      <c r="D38" s="5" t="s">
        <v>21</v>
      </c>
      <c r="E38" s="5" t="s">
        <v>44</v>
      </c>
    </row>
    <row r="39" customFormat="false" ht="15" hidden="false" customHeight="true" outlineLevel="0" collapsed="false">
      <c r="A39" s="10" t="s">
        <v>505</v>
      </c>
      <c r="B39" s="10" t="s">
        <v>516</v>
      </c>
      <c r="C39" s="25" t="n">
        <v>60</v>
      </c>
      <c r="D39" s="24" t="n">
        <v>0.436</v>
      </c>
      <c r="E39" s="13" t="n">
        <v>986</v>
      </c>
    </row>
    <row r="40" customFormat="false" ht="15" hidden="false" customHeight="true" outlineLevel="0" collapsed="false">
      <c r="A40" s="10" t="s">
        <v>507</v>
      </c>
      <c r="B40" s="10" t="s">
        <v>517</v>
      </c>
      <c r="C40" s="25" t="n">
        <v>60</v>
      </c>
      <c r="D40" s="24" t="n">
        <v>0.599</v>
      </c>
      <c r="E40" s="13" t="n">
        <v>1053</v>
      </c>
    </row>
    <row r="41" customFormat="false" ht="15" hidden="false" customHeight="true" outlineLevel="0" collapsed="false">
      <c r="A41" s="10" t="s">
        <v>509</v>
      </c>
      <c r="B41" s="10" t="s">
        <v>518</v>
      </c>
      <c r="C41" s="25" t="n">
        <v>60</v>
      </c>
      <c r="D41" s="24" t="n">
        <v>0.416</v>
      </c>
      <c r="E41" s="13" t="n">
        <v>1078</v>
      </c>
    </row>
    <row r="42" customFormat="false" ht="15" hidden="false" customHeight="true" outlineLevel="0" collapsed="false">
      <c r="A42" s="10" t="s">
        <v>511</v>
      </c>
      <c r="B42" s="10" t="s">
        <v>519</v>
      </c>
      <c r="C42" s="25" t="n">
        <v>63</v>
      </c>
      <c r="D42" s="24" t="n">
        <v>0.477</v>
      </c>
      <c r="E42" s="13" t="n">
        <v>1164</v>
      </c>
    </row>
    <row r="43" customFormat="false" ht="15" hidden="false" customHeight="true" outlineLevel="0" collapsed="false">
      <c r="A43" s="3" t="s">
        <v>520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LibreOffice/26.2.4.2$Linux_AARCH64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2026-08-24T01:21:19Z</dcterms:created>
  <dc:creator>openpyxl</dc:creator>
  <dc:description/>
  <dc:language>en-US</dc:language>
  <cp:lastModifiedBy/>
  <dcterms:modified xsi:type="dcterms:W3CDTF">2026-08-24T01:28:24Z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