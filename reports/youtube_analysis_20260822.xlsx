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チャンネル別詳細" sheetId="2" state="visible" r:id="rId4"/>
    <sheet name="動画別パフォーマンス" sheetId="3" state="visible" r:id="rId5"/>
    <sheet name="改善アクション" sheetId="4" state="visible" r:id="rId6"/>
    <sheet name="トレンド" sheetId="5" state="visible" r:id="rId7"/>
  </sheets>
  <definedNames>
    <definedName function="false" hidden="true" localSheetId="2" name="_xlnm._FilterDatabase" vbProcedure="false">動画別パフォーマンス!$A$4:$K$179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<sst xmlns="http://schemas.openxmlformats.org/spreadsheetml/2006/main" count="1074" uniqueCount="459">
  <si>
    <r>
      <rPr>
        <b val="true"/>
        <sz val="14"/>
        <color rgb="FF1F3864"/>
        <rFont val="Arial"/>
        <family val="0"/>
        <charset val="1"/>
      </rPr>
      <t xml:space="preserve">YouTube Factory </t>
    </r>
    <r>
      <rPr>
        <b val="true"/>
        <sz val="14"/>
        <color rgb="FF1F3864"/>
        <rFont val="Noto Sans CJK SC"/>
        <family val="2"/>
      </rPr>
      <t xml:space="preserve">日次分析レポート</t>
    </r>
  </si>
  <si>
    <r>
      <rPr>
        <i val="true"/>
        <sz val="9"/>
        <color rgb="FF666666"/>
        <rFont val="Noto Sans CJK SC"/>
        <family val="2"/>
      </rPr>
      <t xml:space="preserve">生成日</t>
    </r>
    <r>
      <rPr>
        <i val="true"/>
        <sz val="9"/>
        <color rgb="FF666666"/>
        <rFont val="Arial"/>
        <family val="0"/>
        <charset val="1"/>
      </rPr>
      <t xml:space="preserve">: 2026-08-22 </t>
    </r>
    <r>
      <rPr>
        <i val="true"/>
        <sz val="9"/>
        <color rgb="FF666666"/>
        <rFont val="Noto Sans CJK SC"/>
        <family val="2"/>
      </rPr>
      <t xml:space="preserve">／ 分析対象</t>
    </r>
    <r>
      <rPr>
        <i val="true"/>
        <sz val="9"/>
        <color rgb="FF666666"/>
        <rFont val="Arial"/>
        <family val="0"/>
        <charset val="1"/>
      </rPr>
      <t xml:space="preserve">: </t>
    </r>
    <r>
      <rPr>
        <i val="true"/>
        <sz val="9"/>
        <color rgb="FF666666"/>
        <rFont val="Noto Sans CJK SC"/>
        <family val="2"/>
      </rPr>
      <t xml:space="preserve">直近</t>
    </r>
    <r>
      <rPr>
        <i val="true"/>
        <sz val="9"/>
        <color rgb="FF666666"/>
        <rFont val="Arial"/>
        <family val="0"/>
        <charset val="1"/>
      </rPr>
      <t xml:space="preserve">60</t>
    </r>
    <r>
      <rPr>
        <i val="true"/>
        <sz val="9"/>
        <color rgb="FF666666"/>
        <rFont val="Noto Sans CJK SC"/>
        <family val="2"/>
      </rPr>
      <t xml:space="preserve">日公開分（動画別）・直近</t>
    </r>
    <r>
      <rPr>
        <i val="true"/>
        <sz val="9"/>
        <color rgb="FF666666"/>
        <rFont val="Arial"/>
        <family val="0"/>
        <charset val="1"/>
      </rPr>
      <t xml:space="preserve">30</t>
    </r>
    <r>
      <rPr>
        <i val="true"/>
        <sz val="9"/>
        <color rgb="FF666666"/>
        <rFont val="Noto Sans CJK SC"/>
        <family val="2"/>
      </rPr>
      <t xml:space="preserve">日（チャンネル別）</t>
    </r>
  </si>
  <si>
    <r>
      <rPr>
        <i val="true"/>
        <sz val="9"/>
        <color rgb="FF666666"/>
        <rFont val="Noto Sans CJK SC"/>
        <family val="2"/>
      </rPr>
      <t xml:space="preserve">至上目標</t>
    </r>
    <r>
      <rPr>
        <i val="true"/>
        <sz val="9"/>
        <color rgb="FF666666"/>
        <rFont val="Arial"/>
        <family val="0"/>
        <charset val="1"/>
      </rPr>
      <t xml:space="preserve">: </t>
    </r>
    <r>
      <rPr>
        <i val="true"/>
        <sz val="9"/>
        <color rgb="FF666666"/>
        <rFont val="Noto Sans CJK SC"/>
        <family val="2"/>
      </rPr>
      <t xml:space="preserve">チャンネル登録者数の増加。数値はすべて </t>
    </r>
    <r>
      <rPr>
        <i val="true"/>
        <sz val="9"/>
        <color rgb="FF666666"/>
        <rFont val="Arial"/>
        <family val="0"/>
        <charset val="1"/>
      </rPr>
      <t xml:space="preserve">data/analytics/analytics.db </t>
    </r>
    <r>
      <rPr>
        <i val="true"/>
        <sz val="9"/>
        <color rgb="FF666666"/>
        <rFont val="Noto Sans CJK SC"/>
        <family val="2"/>
      </rPr>
      <t xml:space="preserve">の実測値。</t>
    </r>
  </si>
  <si>
    <r>
      <rPr>
        <b val="true"/>
        <sz val="10"/>
        <rFont val="Noto Sans CJK SC"/>
        <family val="2"/>
      </rPr>
      <t xml:space="preserve">全体</t>
    </r>
    <r>
      <rPr>
        <b val="true"/>
        <sz val="10"/>
        <rFont val="Arial"/>
        <family val="0"/>
        <charset val="1"/>
      </rPr>
      <t xml:space="preserve">KPI</t>
    </r>
    <r>
      <rPr>
        <b val="true"/>
        <sz val="10"/>
        <rFont val="Noto Sans CJK SC"/>
        <family val="2"/>
      </rPr>
      <t xml:space="preserve">（直近</t>
    </r>
    <r>
      <rPr>
        <b val="true"/>
        <sz val="10"/>
        <rFont val="Arial"/>
        <family val="0"/>
        <charset val="1"/>
      </rPr>
      <t xml:space="preserve">30</t>
    </r>
    <r>
      <rPr>
        <b val="true"/>
        <sz val="10"/>
        <rFont val="Noto Sans CJK SC"/>
        <family val="2"/>
      </rPr>
      <t xml:space="preserve">日）</t>
    </r>
  </si>
  <si>
    <t xml:space="preserve">指標</t>
  </si>
  <si>
    <t xml:space="preserve">値</t>
  </si>
  <si>
    <t xml:space="preserve">備考</t>
  </si>
  <si>
    <t xml:space="preserve">総再生数</t>
  </si>
  <si>
    <r>
      <rPr>
        <sz val="10"/>
        <rFont val="Noto Sans CJK SC"/>
        <family val="2"/>
      </rPr>
      <t xml:space="preserve">稼働</t>
    </r>
    <r>
      <rPr>
        <sz val="10"/>
        <rFont val="Arial"/>
        <family val="0"/>
        <charset val="1"/>
      </rPr>
      <t xml:space="preserve">5</t>
    </r>
    <r>
      <rPr>
        <sz val="10"/>
        <rFont val="Noto Sans CJK SC"/>
        <family val="2"/>
      </rPr>
      <t xml:space="preserve">チャンネル合計</t>
    </r>
  </si>
  <si>
    <t xml:space="preserve">登録者 獲得</t>
  </si>
  <si>
    <t xml:space="preserve">登録者 解除</t>
  </si>
  <si>
    <t xml:space="preserve">登録者 純増</t>
  </si>
  <si>
    <r>
      <rPr>
        <sz val="10"/>
        <rFont val="Noto Sans CJK SC"/>
        <family val="2"/>
      </rPr>
      <t xml:space="preserve">うち </t>
    </r>
    <r>
      <rPr>
        <sz val="10"/>
        <rFont val="Arial"/>
        <family val="0"/>
        <charset val="1"/>
      </rPr>
      <t xml:space="preserve">scp-lab </t>
    </r>
    <r>
      <rPr>
        <sz val="10"/>
        <rFont val="Noto Sans CJK SC"/>
        <family val="2"/>
      </rPr>
      <t xml:space="preserve">が </t>
    </r>
    <r>
      <rPr>
        <sz val="10"/>
        <rFont val="Arial"/>
        <family val="0"/>
        <charset val="1"/>
      </rPr>
      <t xml:space="preserve">37</t>
    </r>
    <r>
      <rPr>
        <sz val="10"/>
        <rFont val="Noto Sans CJK SC"/>
        <family val="2"/>
      </rPr>
      <t xml:space="preserve">（全体の</t>
    </r>
    <r>
      <rPr>
        <sz val="10"/>
        <rFont val="Arial"/>
        <family val="0"/>
        <charset val="1"/>
      </rPr>
      <t xml:space="preserve">54%</t>
    </r>
    <r>
      <rPr>
        <sz val="10"/>
        <rFont val="Noto Sans CJK SC"/>
        <family val="2"/>
      </rPr>
      <t xml:space="preserve">）</t>
    </r>
  </si>
  <si>
    <r>
      <rPr>
        <b val="true"/>
        <sz val="10"/>
        <rFont val="Noto Sans CJK SC"/>
        <family val="2"/>
      </rPr>
      <t xml:space="preserve">総視聴時間</t>
    </r>
    <r>
      <rPr>
        <b val="true"/>
        <sz val="10"/>
        <rFont val="Arial"/>
        <family val="0"/>
        <charset val="1"/>
      </rPr>
      <t xml:space="preserve">(</t>
    </r>
    <r>
      <rPr>
        <b val="true"/>
        <sz val="10"/>
        <rFont val="Noto Sans CJK SC"/>
        <family val="2"/>
      </rPr>
      <t xml:space="preserve">分</t>
    </r>
    <r>
      <rPr>
        <b val="true"/>
        <sz val="10"/>
        <rFont val="Arial"/>
        <family val="0"/>
        <charset val="1"/>
      </rPr>
      <t xml:space="preserve">)</t>
    </r>
  </si>
  <si>
    <t xml:space="preserve">稼働チャンネル数</t>
  </si>
  <si>
    <r>
      <rPr>
        <sz val="10"/>
        <rFont val="Arial"/>
        <family val="0"/>
        <charset val="1"/>
      </rPr>
      <t xml:space="preserve">company-facts / clip-lab / akashic-librarian / fake-paper </t>
    </r>
    <r>
      <rPr>
        <sz val="10"/>
        <rFont val="Noto Sans CJK SC"/>
        <family val="2"/>
      </rPr>
      <t xml:space="preserve">は実績データ</t>
    </r>
    <r>
      <rPr>
        <sz val="10"/>
        <rFont val="Arial"/>
        <family val="0"/>
        <charset val="1"/>
      </rPr>
      <t xml:space="preserve">0</t>
    </r>
    <r>
      <rPr>
        <sz val="10"/>
        <rFont val="Noto Sans CJK SC"/>
        <family val="2"/>
      </rPr>
      <t xml:space="preserve">件</t>
    </r>
  </si>
  <si>
    <r>
      <rPr>
        <b val="true"/>
        <sz val="10"/>
        <rFont val="Noto Sans CJK SC"/>
        <family val="2"/>
      </rPr>
      <t xml:space="preserve">チャンネル別 登録者獲得効率ランキング（直近</t>
    </r>
    <r>
      <rPr>
        <b val="true"/>
        <sz val="10"/>
        <rFont val="Arial"/>
        <family val="0"/>
        <charset val="1"/>
      </rPr>
      <t xml:space="preserve">60</t>
    </r>
    <r>
      <rPr>
        <b val="true"/>
        <sz val="10"/>
        <rFont val="Noto Sans CJK SC"/>
        <family val="2"/>
      </rPr>
      <t xml:space="preserve">日公開・実測）</t>
    </r>
  </si>
  <si>
    <r>
      <rPr>
        <i val="true"/>
        <sz val="9"/>
        <color rgb="FF666666"/>
        <rFont val="Noto Sans CJK SC"/>
        <family val="2"/>
      </rPr>
      <t xml:space="preserve">※ 至上目標が登録者増のため「</t>
    </r>
    <r>
      <rPr>
        <i val="true"/>
        <sz val="9"/>
        <color rgb="FF666666"/>
        <rFont val="Arial"/>
        <family val="0"/>
        <charset val="1"/>
      </rPr>
      <t xml:space="preserve">1</t>
    </r>
    <r>
      <rPr>
        <i val="true"/>
        <sz val="9"/>
        <color rgb="FF666666"/>
        <rFont val="Noto Sans CJK SC"/>
        <family val="2"/>
      </rPr>
      <t xml:space="preserve">本あたり期待登録者数」を主</t>
    </r>
    <r>
      <rPr>
        <i val="true"/>
        <sz val="9"/>
        <color rgb="FF666666"/>
        <rFont val="Arial"/>
        <family val="0"/>
        <charset val="1"/>
      </rPr>
      <t xml:space="preserve">KPI</t>
    </r>
    <r>
      <rPr>
        <i val="true"/>
        <sz val="9"/>
        <color rgb="FF666666"/>
        <rFont val="Noto Sans CJK SC"/>
        <family val="2"/>
      </rPr>
      <t xml:space="preserve">とする</t>
    </r>
  </si>
  <si>
    <t xml:space="preserve">順位</t>
  </si>
  <si>
    <t xml:space="preserve">チャンネル</t>
  </si>
  <si>
    <t xml:space="preserve">ID</t>
  </si>
  <si>
    <t xml:space="preserve">本数</t>
  </si>
  <si>
    <t xml:space="preserve">総再生</t>
  </si>
  <si>
    <t xml:space="preserve">平均再生</t>
  </si>
  <si>
    <t xml:space="preserve">登録者</t>
  </si>
  <si>
    <r>
      <rPr>
        <b val="true"/>
        <sz val="10"/>
        <color rgb="FFFFFFFF"/>
        <rFont val="Arial"/>
        <family val="0"/>
        <charset val="1"/>
      </rPr>
      <t xml:space="preserve">1</t>
    </r>
    <r>
      <rPr>
        <b val="true"/>
        <sz val="10"/>
        <color rgb="FFFFFFFF"/>
        <rFont val="Noto Sans CJK SC"/>
        <family val="2"/>
      </rPr>
      <t xml:space="preserve">本あたり登録者</t>
    </r>
  </si>
  <si>
    <r>
      <rPr>
        <b val="true"/>
        <sz val="10"/>
        <color rgb="FFFFFFFF"/>
        <rFont val="Arial"/>
        <family val="0"/>
        <charset val="1"/>
      </rPr>
      <t xml:space="preserve">1000</t>
    </r>
    <r>
      <rPr>
        <b val="true"/>
        <sz val="10"/>
        <color rgb="FFFFFFFF"/>
        <rFont val="Noto Sans CJK SC"/>
        <family val="2"/>
      </rPr>
      <t xml:space="preserve">再生あたり登録者</t>
    </r>
  </si>
  <si>
    <t xml:space="preserve">平均視聴維持率</t>
  </si>
  <si>
    <r>
      <rPr>
        <b val="true"/>
        <sz val="10"/>
        <color rgb="FFFFFFFF"/>
        <rFont val="Arial"/>
        <family val="0"/>
        <charset val="1"/>
      </rPr>
      <t xml:space="preserve">30</t>
    </r>
    <r>
      <rPr>
        <b val="true"/>
        <sz val="10"/>
        <color rgb="FFFFFFFF"/>
        <rFont val="Noto Sans CJK SC"/>
        <family val="2"/>
      </rPr>
      <t xml:space="preserve">日純増</t>
    </r>
  </si>
  <si>
    <r>
      <rPr>
        <sz val="10"/>
        <rFont val="Arial"/>
        <family val="0"/>
        <charset val="1"/>
      </rPr>
      <t xml:space="preserve">SCP</t>
    </r>
    <r>
      <rPr>
        <sz val="10"/>
        <rFont val="Noto Sans CJK SC"/>
        <family val="2"/>
      </rPr>
      <t xml:space="preserve">研究所</t>
    </r>
  </si>
  <si>
    <t xml:space="preserve">scp-lab</t>
  </si>
  <si>
    <t xml:space="preserve">ポケモン考察</t>
  </si>
  <si>
    <t xml:space="preserve">pokemon-lab</t>
  </si>
  <si>
    <t xml:space="preserve">妖怪考察</t>
  </si>
  <si>
    <t xml:space="preserve">yokai-watch</t>
  </si>
  <si>
    <t xml:space="preserve">日常科学</t>
  </si>
  <si>
    <t xml:space="preserve">daily-science</t>
  </si>
  <si>
    <r>
      <rPr>
        <sz val="10"/>
        <rFont val="Arial"/>
        <family val="0"/>
        <charset val="1"/>
      </rPr>
      <t xml:space="preserve">2ch</t>
    </r>
    <r>
      <rPr>
        <sz val="10"/>
        <rFont val="Noto Sans CJK SC"/>
        <family val="2"/>
      </rPr>
      <t xml:space="preserve">まとめ</t>
    </r>
  </si>
  <si>
    <t xml:space="preserve">2ch-matome</t>
  </si>
  <si>
    <t xml:space="preserve">合計</t>
  </si>
  <si>
    <t xml:space="preserve">本日の重点結論</t>
  </si>
  <si>
    <r>
      <rPr>
        <sz val="10"/>
        <rFont val="Arial"/>
        <family val="0"/>
        <charset val="1"/>
      </rPr>
      <t xml:space="preserve">1. scp-lab </t>
    </r>
    <r>
      <rPr>
        <sz val="10"/>
        <rFont val="Noto Sans CJK SC"/>
        <family val="2"/>
      </rPr>
      <t xml:space="preserve">が登録者獲得の主力。</t>
    </r>
    <r>
      <rPr>
        <sz val="10"/>
        <rFont val="Arial"/>
        <family val="0"/>
        <charset val="1"/>
      </rPr>
      <t xml:space="preserve">1</t>
    </r>
    <r>
      <rPr>
        <sz val="10"/>
        <rFont val="Noto Sans CJK SC"/>
        <family val="2"/>
      </rPr>
      <t xml:space="preserve">本あたり</t>
    </r>
    <r>
      <rPr>
        <sz val="10"/>
        <rFont val="Arial"/>
        <family val="0"/>
        <charset val="1"/>
      </rPr>
      <t xml:space="preserve">0.647</t>
    </r>
    <r>
      <rPr>
        <sz val="10"/>
        <rFont val="Noto Sans CJK SC"/>
        <family val="2"/>
      </rPr>
      <t xml:space="preserve">人（</t>
    </r>
    <r>
      <rPr>
        <sz val="10"/>
        <rFont val="Arial"/>
        <family val="0"/>
        <charset val="1"/>
      </rPr>
      <t xml:space="preserve">2</t>
    </r>
    <r>
      <rPr>
        <sz val="10"/>
        <rFont val="Noto Sans CJK SC"/>
        <family val="2"/>
      </rPr>
      <t xml:space="preserve">位の</t>
    </r>
    <r>
      <rPr>
        <sz val="10"/>
        <rFont val="Arial"/>
        <family val="0"/>
        <charset val="1"/>
      </rPr>
      <t xml:space="preserve">1.29</t>
    </r>
    <r>
      <rPr>
        <sz val="10"/>
        <rFont val="Noto Sans CJK SC"/>
        <family val="2"/>
      </rPr>
      <t xml:space="preserve">倍）、</t>
    </r>
    <r>
      <rPr>
        <sz val="10"/>
        <rFont val="Arial"/>
        <family val="0"/>
        <charset val="1"/>
      </rPr>
      <t xml:space="preserve">1000</t>
    </r>
    <r>
      <rPr>
        <sz val="10"/>
        <rFont val="Noto Sans CJK SC"/>
        <family val="2"/>
      </rPr>
      <t xml:space="preserve">再生あたり</t>
    </r>
    <r>
      <rPr>
        <sz val="10"/>
        <rFont val="Arial"/>
        <family val="0"/>
        <charset val="1"/>
      </rPr>
      <t xml:space="preserve">0.845</t>
    </r>
    <r>
      <rPr>
        <sz val="10"/>
        <rFont val="Noto Sans CJK SC"/>
        <family val="2"/>
      </rPr>
      <t xml:space="preserve">人（</t>
    </r>
    <r>
      <rPr>
        <sz val="10"/>
        <rFont val="Arial"/>
        <family val="0"/>
        <charset val="1"/>
      </rPr>
      <t xml:space="preserve">2</t>
    </r>
    <r>
      <rPr>
        <sz val="10"/>
        <rFont val="Noto Sans CJK SC"/>
        <family val="2"/>
      </rPr>
      <t xml:space="preserve">位の</t>
    </r>
    <r>
      <rPr>
        <sz val="10"/>
        <rFont val="Arial"/>
        <family val="0"/>
        <charset val="1"/>
      </rPr>
      <t xml:space="preserve">2.52</t>
    </r>
    <r>
      <rPr>
        <sz val="10"/>
        <rFont val="Noto Sans CJK SC"/>
        <family val="2"/>
      </rPr>
      <t xml:space="preserve">倍）、</t>
    </r>
    <r>
      <rPr>
        <sz val="10"/>
        <rFont val="Arial"/>
        <family val="0"/>
        <charset val="1"/>
      </rPr>
      <t xml:space="preserve">30</t>
    </r>
    <r>
      <rPr>
        <sz val="10"/>
        <rFont val="Noto Sans CJK SC"/>
        <family val="2"/>
      </rPr>
      <t xml:space="preserve">日純増</t>
    </r>
    <r>
      <rPr>
        <sz val="10"/>
        <rFont val="Arial"/>
        <family val="0"/>
        <charset val="1"/>
      </rPr>
      <t xml:space="preserve">37</t>
    </r>
    <r>
      <rPr>
        <sz val="10"/>
        <rFont val="Noto Sans CJK SC"/>
        <family val="2"/>
      </rPr>
      <t xml:space="preserve">人は他</t>
    </r>
    <r>
      <rPr>
        <sz val="10"/>
        <rFont val="Arial"/>
        <family val="0"/>
        <charset val="1"/>
      </rPr>
      <t xml:space="preserve">4ch</t>
    </r>
    <r>
      <rPr>
        <sz val="10"/>
        <rFont val="Noto Sans CJK SC"/>
        <family val="2"/>
      </rPr>
      <t xml:space="preserve">合計</t>
    </r>
    <r>
      <rPr>
        <sz val="10"/>
        <rFont val="Arial"/>
        <family val="0"/>
        <charset val="1"/>
      </rPr>
      <t xml:space="preserve">32</t>
    </r>
    <r>
      <rPr>
        <sz val="10"/>
        <rFont val="Noto Sans CJK SC"/>
        <family val="2"/>
      </rPr>
      <t xml:space="preserve">人を</t>
    </r>
    <r>
      <rPr>
        <sz val="10"/>
        <rFont val="Arial"/>
        <family val="0"/>
        <charset val="1"/>
      </rPr>
      <t xml:space="preserve">1ch</t>
    </r>
    <r>
      <rPr>
        <sz val="10"/>
        <rFont val="Noto Sans CJK SC"/>
        <family val="2"/>
      </rPr>
      <t xml:space="preserve">で上回る。</t>
    </r>
  </si>
  <si>
    <r>
      <rPr>
        <sz val="10"/>
        <rFont val="Arial"/>
        <family val="0"/>
        <charset val="1"/>
      </rPr>
      <t xml:space="preserve">2. </t>
    </r>
    <r>
      <rPr>
        <sz val="10"/>
        <rFont val="Noto Sans CJK SC"/>
        <family val="2"/>
      </rPr>
      <t xml:space="preserve">しかし </t>
    </r>
    <r>
      <rPr>
        <sz val="10"/>
        <rFont val="Arial"/>
        <family val="0"/>
        <charset val="1"/>
      </rPr>
      <t xml:space="preserve">scp-lab </t>
    </r>
    <r>
      <rPr>
        <sz val="10"/>
        <rFont val="Noto Sans CJK SC"/>
        <family val="2"/>
      </rPr>
      <t xml:space="preserve">の平均再生は</t>
    </r>
    <r>
      <rPr>
        <sz val="10"/>
        <rFont val="Arial"/>
        <family val="0"/>
        <charset val="1"/>
      </rPr>
      <t xml:space="preserve">765</t>
    </r>
    <r>
      <rPr>
        <sz val="10"/>
        <rFont val="Noto Sans CJK SC"/>
        <family val="2"/>
      </rPr>
      <t xml:space="preserve">で下位。再生数を伸ばせば登録者が最も増える唯一のチャンネル → 投稿本数を</t>
    </r>
    <r>
      <rPr>
        <sz val="10"/>
        <rFont val="Arial"/>
        <family val="0"/>
        <charset val="1"/>
      </rPr>
      <t xml:space="preserve">1→2</t>
    </r>
    <r>
      <rPr>
        <sz val="10"/>
        <rFont val="Noto Sans CJK SC"/>
        <family val="2"/>
      </rPr>
      <t xml:space="preserve">本</t>
    </r>
    <r>
      <rPr>
        <sz val="10"/>
        <rFont val="Arial"/>
        <family val="0"/>
        <charset val="1"/>
      </rPr>
      <t xml:space="preserve">/</t>
    </r>
    <r>
      <rPr>
        <sz val="10"/>
        <rFont val="Noto Sans CJK SC"/>
        <family val="2"/>
      </rPr>
      <t xml:space="preserve">日へ増枠した。</t>
    </r>
  </si>
  <si>
    <r>
      <rPr>
        <sz val="10"/>
        <rFont val="Arial"/>
        <family val="0"/>
        <charset val="1"/>
      </rPr>
      <t xml:space="preserve">3. 2ch-matome </t>
    </r>
    <r>
      <rPr>
        <sz val="10"/>
        <rFont val="Noto Sans CJK SC"/>
        <family val="2"/>
      </rPr>
      <t xml:space="preserve">は最下位。</t>
    </r>
    <r>
      <rPr>
        <sz val="10"/>
        <rFont val="Arial"/>
        <family val="0"/>
        <charset val="1"/>
      </rPr>
      <t xml:space="preserve">1</t>
    </r>
    <r>
      <rPr>
        <sz val="10"/>
        <rFont val="Noto Sans CJK SC"/>
        <family val="2"/>
      </rPr>
      <t xml:space="preserve">本あたり</t>
    </r>
    <r>
      <rPr>
        <sz val="10"/>
        <rFont val="Arial"/>
        <family val="0"/>
        <charset val="1"/>
      </rPr>
      <t xml:space="preserve">0.200</t>
    </r>
    <r>
      <rPr>
        <sz val="10"/>
        <rFont val="Noto Sans CJK SC"/>
        <family val="2"/>
      </rPr>
      <t xml:space="preserve">人・</t>
    </r>
    <r>
      <rPr>
        <sz val="10"/>
        <rFont val="Arial"/>
        <family val="0"/>
        <charset val="1"/>
      </rPr>
      <t xml:space="preserve">30</t>
    </r>
    <r>
      <rPr>
        <sz val="10"/>
        <rFont val="Noto Sans CJK SC"/>
        <family val="2"/>
      </rPr>
      <t xml:space="preserve">日純増</t>
    </r>
    <r>
      <rPr>
        <sz val="10"/>
        <rFont val="Arial"/>
        <family val="0"/>
        <charset val="1"/>
      </rPr>
      <t xml:space="preserve">4</t>
    </r>
    <r>
      <rPr>
        <sz val="10"/>
        <rFont val="Noto Sans CJK SC"/>
        <family val="2"/>
      </rPr>
      <t xml:space="preserve">人。視聴維持率</t>
    </r>
    <r>
      <rPr>
        <sz val="10"/>
        <rFont val="Arial"/>
        <family val="0"/>
        <charset val="1"/>
      </rPr>
      <t xml:space="preserve">64%</t>
    </r>
    <r>
      <rPr>
        <sz val="10"/>
        <rFont val="Noto Sans CJK SC"/>
        <family val="2"/>
      </rPr>
      <t xml:space="preserve">と内容は見られているが登録に繋がらない → </t>
    </r>
    <r>
      <rPr>
        <sz val="10"/>
        <rFont val="Arial"/>
        <family val="0"/>
        <charset val="1"/>
      </rPr>
      <t xml:space="preserve">2→1</t>
    </r>
    <r>
      <rPr>
        <sz val="10"/>
        <rFont val="Noto Sans CJK SC"/>
        <family val="2"/>
      </rPr>
      <t xml:space="preserve">本</t>
    </r>
    <r>
      <rPr>
        <sz val="10"/>
        <rFont val="Arial"/>
        <family val="0"/>
        <charset val="1"/>
      </rPr>
      <t xml:space="preserve">/</t>
    </r>
    <r>
      <rPr>
        <sz val="10"/>
        <rFont val="Noto Sans CJK SC"/>
        <family val="2"/>
      </rPr>
      <t xml:space="preserve">日へ減枠。</t>
    </r>
  </si>
  <si>
    <r>
      <rPr>
        <sz val="10"/>
        <rFont val="Arial"/>
        <family val="0"/>
        <charset val="1"/>
      </rPr>
      <t xml:space="preserve">4. </t>
    </r>
    <r>
      <rPr>
        <sz val="10"/>
        <rFont val="Noto Sans CJK SC"/>
        <family val="2"/>
      </rPr>
      <t xml:space="preserve">動画尺の最適解はチャンネルごとに逆方向。</t>
    </r>
    <r>
      <rPr>
        <sz val="10"/>
        <rFont val="Arial"/>
        <family val="0"/>
        <charset val="1"/>
      </rPr>
      <t xml:space="preserve">scp-lab/daily-science </t>
    </r>
    <r>
      <rPr>
        <sz val="10"/>
        <rFont val="Noto Sans CJK SC"/>
        <family val="2"/>
      </rPr>
      <t xml:space="preserve">は短いほど維持率が高く、</t>
    </r>
    <r>
      <rPr>
        <sz val="10"/>
        <rFont val="Arial"/>
        <family val="0"/>
        <charset val="1"/>
      </rPr>
      <t xml:space="preserve">yokai-watch </t>
    </r>
    <r>
      <rPr>
        <sz val="10"/>
        <rFont val="Noto Sans CJK SC"/>
        <family val="2"/>
      </rPr>
      <t xml:space="preserve">は長いほど高い（下記「トレンド」シート参照）。</t>
    </r>
  </si>
  <si>
    <r>
      <rPr>
        <sz val="10"/>
        <rFont val="Arial"/>
        <family val="0"/>
        <charset val="1"/>
      </rPr>
      <t xml:space="preserve">5. </t>
    </r>
    <r>
      <rPr>
        <sz val="10"/>
        <rFont val="Noto Sans CJK SC"/>
        <family val="2"/>
      </rPr>
      <t xml:space="preserve">【重大】</t>
    </r>
    <r>
      <rPr>
        <sz val="10"/>
        <rFont val="Arial"/>
        <family val="0"/>
        <charset val="1"/>
      </rPr>
      <t xml:space="preserve">impressions </t>
    </r>
    <r>
      <rPr>
        <sz val="10"/>
        <rFont val="Noto Sans CJK SC"/>
        <family val="2"/>
      </rPr>
      <t xml:space="preserve">と </t>
    </r>
    <r>
      <rPr>
        <sz val="10"/>
        <rFont val="Arial"/>
        <family val="0"/>
        <charset val="1"/>
      </rPr>
      <t xml:space="preserve">CTR </t>
    </r>
    <r>
      <rPr>
        <sz val="10"/>
        <rFont val="Noto Sans CJK SC"/>
        <family val="2"/>
      </rPr>
      <t xml:space="preserve">が全</t>
    </r>
    <r>
      <rPr>
        <sz val="10"/>
        <rFont val="Arial"/>
        <family val="0"/>
        <charset val="1"/>
      </rPr>
      <t xml:space="preserve">4,850</t>
    </r>
    <r>
      <rPr>
        <sz val="10"/>
        <rFont val="Noto Sans CJK SC"/>
        <family val="2"/>
      </rPr>
      <t xml:space="preserve">レコードで</t>
    </r>
    <r>
      <rPr>
        <sz val="10"/>
        <rFont val="Arial"/>
        <family val="0"/>
        <charset val="1"/>
      </rPr>
      <t xml:space="preserve">0</t>
    </r>
    <r>
      <rPr>
        <sz val="10"/>
        <rFont val="Noto Sans CJK SC"/>
        <family val="2"/>
      </rPr>
      <t xml:space="preserve">。サムネイルの</t>
    </r>
    <r>
      <rPr>
        <sz val="10"/>
        <rFont val="Arial"/>
        <family val="0"/>
        <charset val="1"/>
      </rPr>
      <t xml:space="preserve">A/B</t>
    </r>
    <r>
      <rPr>
        <sz val="10"/>
        <rFont val="Noto Sans CJK SC"/>
        <family val="2"/>
      </rPr>
      <t xml:space="preserve">テスト</t>
    </r>
    <r>
      <rPr>
        <sz val="10"/>
        <rFont val="Arial"/>
        <family val="0"/>
        <charset val="1"/>
      </rPr>
      <t xml:space="preserve">18</t>
    </r>
    <r>
      <rPr>
        <sz val="10"/>
        <rFont val="Noto Sans CJK SC"/>
        <family val="2"/>
      </rPr>
      <t xml:space="preserve">件も判定不能。サムネ品質最優先という方針が現在まったく測定できていない。</t>
    </r>
  </si>
  <si>
    <r>
      <rPr>
        <sz val="10"/>
        <rFont val="Arial"/>
        <family val="0"/>
        <charset val="1"/>
      </rPr>
      <t xml:space="preserve">6. company-facts </t>
    </r>
    <r>
      <rPr>
        <sz val="10"/>
        <rFont val="Noto Sans CJK SC"/>
        <family val="2"/>
      </rPr>
      <t xml:space="preserve">は </t>
    </r>
    <r>
      <rPr>
        <sz val="10"/>
        <rFont val="Arial"/>
        <family val="0"/>
        <charset val="1"/>
      </rPr>
      <t xml:space="preserve">autopilot </t>
    </r>
    <r>
      <rPr>
        <sz val="10"/>
        <rFont val="Noto Sans CJK SC"/>
        <family val="2"/>
      </rPr>
      <t xml:space="preserve">有効だが実績データ</t>
    </r>
    <r>
      <rPr>
        <sz val="10"/>
        <rFont val="Arial"/>
        <family val="0"/>
        <charset val="1"/>
      </rPr>
      <t xml:space="preserve">0</t>
    </r>
    <r>
      <rPr>
        <sz val="10"/>
        <rFont val="Noto Sans CJK SC"/>
        <family val="2"/>
      </rPr>
      <t xml:space="preserve">件。投稿到達を要確認。</t>
    </r>
  </si>
  <si>
    <t xml:space="preserve">チャンネル別詳細</t>
  </si>
  <si>
    <r>
      <rPr>
        <i val="true"/>
        <sz val="9"/>
        <color rgb="FF666666"/>
        <rFont val="Arial"/>
        <family val="0"/>
        <charset val="1"/>
      </rPr>
      <t xml:space="preserve">2026-08-22 </t>
    </r>
    <r>
      <rPr>
        <i val="true"/>
        <sz val="9"/>
        <color rgb="FF666666"/>
        <rFont val="Noto Sans CJK SC"/>
        <family val="2"/>
      </rPr>
      <t xml:space="preserve">時点。動画指標</t>
    </r>
    <r>
      <rPr>
        <i val="true"/>
        <sz val="9"/>
        <color rgb="FF666666"/>
        <rFont val="Arial"/>
        <family val="0"/>
        <charset val="1"/>
      </rPr>
      <t xml:space="preserve">=</t>
    </r>
    <r>
      <rPr>
        <i val="true"/>
        <sz val="9"/>
        <color rgb="FF666666"/>
        <rFont val="Noto Sans CJK SC"/>
        <family val="2"/>
      </rPr>
      <t xml:space="preserve">直近</t>
    </r>
    <r>
      <rPr>
        <i val="true"/>
        <sz val="9"/>
        <color rgb="FF666666"/>
        <rFont val="Arial"/>
        <family val="0"/>
        <charset val="1"/>
      </rPr>
      <t xml:space="preserve">60</t>
    </r>
    <r>
      <rPr>
        <i val="true"/>
        <sz val="9"/>
        <color rgb="FF666666"/>
        <rFont val="Noto Sans CJK SC"/>
        <family val="2"/>
      </rPr>
      <t xml:space="preserve">日公開分の最新スナップショット、チャンネル指標</t>
    </r>
    <r>
      <rPr>
        <i val="true"/>
        <sz val="9"/>
        <color rgb="FF666666"/>
        <rFont val="Arial"/>
        <family val="0"/>
        <charset val="1"/>
      </rPr>
      <t xml:space="preserve">=</t>
    </r>
    <r>
      <rPr>
        <i val="true"/>
        <sz val="9"/>
        <color rgb="FF666666"/>
        <rFont val="Noto Sans CJK SC"/>
        <family val="2"/>
      </rPr>
      <t xml:space="preserve">直近</t>
    </r>
    <r>
      <rPr>
        <i val="true"/>
        <sz val="9"/>
        <color rgb="FF666666"/>
        <rFont val="Arial"/>
        <family val="0"/>
        <charset val="1"/>
      </rPr>
      <t xml:space="preserve">30</t>
    </r>
    <r>
      <rPr>
        <i val="true"/>
        <sz val="9"/>
        <color rgb="FF666666"/>
        <rFont val="Noto Sans CJK SC"/>
        <family val="2"/>
      </rPr>
      <t xml:space="preserve">日累計。</t>
    </r>
  </si>
  <si>
    <t xml:space="preserve">公開本数</t>
  </si>
  <si>
    <t xml:space="preserve">平均視聴秒数</t>
  </si>
  <si>
    <t xml:space="preserve">高評価</t>
  </si>
  <si>
    <t xml:space="preserve">コメント</t>
  </si>
  <si>
    <t xml:space="preserve">高評価率</t>
  </si>
  <si>
    <r>
      <rPr>
        <b val="true"/>
        <sz val="10"/>
        <color rgb="FFFFFFFF"/>
        <rFont val="Arial"/>
        <family val="0"/>
        <charset val="1"/>
      </rPr>
      <t xml:space="preserve">30</t>
    </r>
    <r>
      <rPr>
        <b val="true"/>
        <sz val="10"/>
        <color rgb="FFFFFFFF"/>
        <rFont val="Noto Sans CJK SC"/>
        <family val="2"/>
      </rPr>
      <t xml:space="preserve">日 獲得</t>
    </r>
  </si>
  <si>
    <r>
      <rPr>
        <b val="true"/>
        <sz val="10"/>
        <color rgb="FFFFFFFF"/>
        <rFont val="Arial"/>
        <family val="0"/>
        <charset val="1"/>
      </rPr>
      <t xml:space="preserve">30</t>
    </r>
    <r>
      <rPr>
        <b val="true"/>
        <sz val="10"/>
        <color rgb="FFFFFFFF"/>
        <rFont val="Noto Sans CJK SC"/>
        <family val="2"/>
      </rPr>
      <t xml:space="preserve">日 解除</t>
    </r>
  </si>
  <si>
    <r>
      <rPr>
        <b val="true"/>
        <sz val="10"/>
        <color rgb="FFFFFFFF"/>
        <rFont val="Arial"/>
        <family val="0"/>
        <charset val="1"/>
      </rPr>
      <t xml:space="preserve">30</t>
    </r>
    <r>
      <rPr>
        <b val="true"/>
        <sz val="10"/>
        <color rgb="FFFFFFFF"/>
        <rFont val="Noto Sans CJK SC"/>
        <family val="2"/>
      </rPr>
      <t xml:space="preserve">日 純増</t>
    </r>
  </si>
  <si>
    <r>
      <rPr>
        <b val="true"/>
        <sz val="10"/>
        <color rgb="FFFFFFFF"/>
        <rFont val="Arial"/>
        <family val="0"/>
        <charset val="1"/>
      </rPr>
      <t xml:space="preserve">30</t>
    </r>
    <r>
      <rPr>
        <b val="true"/>
        <sz val="10"/>
        <color rgb="FFFFFFFF"/>
        <rFont val="Noto Sans CJK SC"/>
        <family val="2"/>
      </rPr>
      <t xml:space="preserve">日 視聴時間</t>
    </r>
    <r>
      <rPr>
        <b val="true"/>
        <sz val="10"/>
        <color rgb="FFFFFFFF"/>
        <rFont val="Arial"/>
        <family val="0"/>
        <charset val="1"/>
      </rPr>
      <t xml:space="preserve">(</t>
    </r>
    <r>
      <rPr>
        <b val="true"/>
        <sz val="10"/>
        <color rgb="FFFFFFFF"/>
        <rFont val="Noto Sans CJK SC"/>
        <family val="2"/>
      </rPr>
      <t xml:space="preserve">分</t>
    </r>
    <r>
      <rPr>
        <b val="true"/>
        <sz val="10"/>
        <color rgb="FFFFFFFF"/>
        <rFont val="Arial"/>
        <family val="0"/>
        <charset val="1"/>
      </rPr>
      <t xml:space="preserve">)</t>
    </r>
  </si>
  <si>
    <t xml:space="preserve">台本総合スコア</t>
  </si>
  <si>
    <t xml:space="preserve">フック</t>
  </si>
  <si>
    <t xml:space="preserve">具体性</t>
  </si>
  <si>
    <t xml:space="preserve">テンポ</t>
  </si>
  <si>
    <t xml:space="preserve">CTA</t>
  </si>
  <si>
    <t xml:space="preserve">言い回し</t>
  </si>
  <si>
    <r>
      <rPr>
        <i val="true"/>
        <sz val="9"/>
        <color rgb="FF666666"/>
        <rFont val="Noto Sans CJK SC"/>
        <family val="2"/>
      </rPr>
      <t xml:space="preserve">注</t>
    </r>
    <r>
      <rPr>
        <i val="true"/>
        <sz val="9"/>
        <color rgb="FF666666"/>
        <rFont val="Arial"/>
        <family val="0"/>
        <charset val="1"/>
      </rPr>
      <t xml:space="preserve">: </t>
    </r>
    <r>
      <rPr>
        <i val="true"/>
        <sz val="9"/>
        <color rgb="FF666666"/>
        <rFont val="Noto Sans CJK SC"/>
        <family val="2"/>
      </rPr>
      <t xml:space="preserve">「台本総合スコア」以降は </t>
    </r>
    <r>
      <rPr>
        <i val="true"/>
        <sz val="9"/>
        <color rgb="FF666666"/>
        <rFont val="Arial"/>
        <family val="0"/>
        <charset val="1"/>
      </rPr>
      <t xml:space="preserve">scenario_evaluations </t>
    </r>
    <r>
      <rPr>
        <i val="true"/>
        <sz val="9"/>
        <color rgb="FF666666"/>
        <rFont val="Noto Sans CJK SC"/>
        <family val="2"/>
      </rPr>
      <t xml:space="preserve">テーブル（</t>
    </r>
    <r>
      <rPr>
        <i val="true"/>
        <sz val="9"/>
        <color rgb="FF666666"/>
        <rFont val="Arial"/>
        <family val="0"/>
        <charset val="1"/>
      </rPr>
      <t xml:space="preserve">Claude</t>
    </r>
    <r>
      <rPr>
        <i val="true"/>
        <sz val="9"/>
        <color rgb="FF666666"/>
        <rFont val="Noto Sans CJK SC"/>
        <family val="2"/>
      </rPr>
      <t xml:space="preserve">採点・</t>
    </r>
    <r>
      <rPr>
        <i val="true"/>
        <sz val="9"/>
        <color rgb="FF666666"/>
        <rFont val="Arial"/>
        <family val="0"/>
        <charset val="1"/>
      </rPr>
      <t xml:space="preserve">10</t>
    </r>
    <r>
      <rPr>
        <i val="true"/>
        <sz val="9"/>
        <color rgb="FF666666"/>
        <rFont val="Noto Sans CJK SC"/>
        <family val="2"/>
      </rPr>
      <t xml:space="preserve">点満点）の全期間平均。</t>
    </r>
  </si>
  <si>
    <r>
      <rPr>
        <i val="true"/>
        <sz val="9"/>
        <color rgb="FF666666"/>
        <rFont val="Noto Sans CJK SC"/>
        <family val="2"/>
      </rPr>
      <t xml:space="preserve">注</t>
    </r>
    <r>
      <rPr>
        <i val="true"/>
        <sz val="9"/>
        <color rgb="FF666666"/>
        <rFont val="Arial"/>
        <family val="0"/>
        <charset val="1"/>
      </rPr>
      <t xml:space="preserve">: CTR / </t>
    </r>
    <r>
      <rPr>
        <i val="true"/>
        <sz val="9"/>
        <color rgb="FF666666"/>
        <rFont val="Noto Sans CJK SC"/>
        <family val="2"/>
      </rPr>
      <t xml:space="preserve">インプレッションは </t>
    </r>
    <r>
      <rPr>
        <i val="true"/>
        <sz val="9"/>
        <color rgb="FF666666"/>
        <rFont val="Arial"/>
        <family val="0"/>
        <charset val="1"/>
      </rPr>
      <t xml:space="preserve">YouTube Analytics API </t>
    </r>
    <r>
      <rPr>
        <i val="true"/>
        <sz val="9"/>
        <color rgb="FF666666"/>
        <rFont val="Noto Sans CJK SC"/>
        <family val="2"/>
      </rPr>
      <t xml:space="preserve">から取得できておらず全件</t>
    </r>
    <r>
      <rPr>
        <i val="true"/>
        <sz val="9"/>
        <color rgb="FF666666"/>
        <rFont val="Arial"/>
        <family val="0"/>
        <charset val="1"/>
      </rPr>
      <t xml:space="preserve">0</t>
    </r>
    <r>
      <rPr>
        <i val="true"/>
        <sz val="9"/>
        <color rgb="FF666666"/>
        <rFont val="Noto Sans CJK SC"/>
        <family val="2"/>
      </rPr>
      <t xml:space="preserve">のため、本シートから除外した。</t>
    </r>
  </si>
  <si>
    <r>
      <rPr>
        <b val="true"/>
        <sz val="14"/>
        <color rgb="FF1F3864"/>
        <rFont val="Noto Sans CJK SC"/>
        <family val="2"/>
      </rPr>
      <t xml:space="preserve">動画別パフォーマンス（直近</t>
    </r>
    <r>
      <rPr>
        <b val="true"/>
        <sz val="14"/>
        <color rgb="FF1F3864"/>
        <rFont val="Arial"/>
        <family val="0"/>
        <charset val="1"/>
      </rPr>
      <t xml:space="preserve">30</t>
    </r>
    <r>
      <rPr>
        <b val="true"/>
        <sz val="14"/>
        <color rgb="FF1F3864"/>
        <rFont val="Noto Sans CJK SC"/>
        <family val="2"/>
      </rPr>
      <t xml:space="preserve">日公開）</t>
    </r>
  </si>
  <si>
    <r>
      <rPr>
        <i val="true"/>
        <sz val="9"/>
        <color rgb="FF666666"/>
        <rFont val="Noto Sans CJK SC"/>
        <family val="2"/>
      </rPr>
      <t xml:space="preserve">※ 視聴回数</t>
    </r>
    <r>
      <rPr>
        <i val="true"/>
        <sz val="9"/>
        <color rgb="FF666666"/>
        <rFont val="Arial"/>
        <family val="0"/>
        <charset val="1"/>
      </rPr>
      <t xml:space="preserve">0</t>
    </r>
    <r>
      <rPr>
        <i val="true"/>
        <sz val="9"/>
        <color rgb="FF666666"/>
        <rFont val="Noto Sans CJK SC"/>
        <family val="2"/>
      </rPr>
      <t xml:space="preserve">の行は </t>
    </r>
    <r>
      <rPr>
        <i val="true"/>
        <sz val="9"/>
        <color rgb="FF666666"/>
        <rFont val="Arial"/>
        <family val="0"/>
        <charset val="1"/>
      </rPr>
      <t xml:space="preserve">YouTube Analytics </t>
    </r>
    <r>
      <rPr>
        <i val="true"/>
        <sz val="9"/>
        <color rgb="FF666666"/>
        <rFont val="Noto Sans CJK SC"/>
        <family val="2"/>
      </rPr>
      <t xml:space="preserve">の反映ラグ（実測で約</t>
    </r>
    <r>
      <rPr>
        <i val="true"/>
        <sz val="9"/>
        <color rgb="FF666666"/>
        <rFont val="Arial"/>
        <family val="0"/>
        <charset val="1"/>
      </rPr>
      <t xml:space="preserve">3</t>
    </r>
    <r>
      <rPr>
        <i val="true"/>
        <sz val="9"/>
        <color rgb="FF666666"/>
        <rFont val="Noto Sans CJK SC"/>
        <family val="2"/>
      </rPr>
      <t xml:space="preserve">日）によるもので、失敗ではない。</t>
    </r>
  </si>
  <si>
    <t xml:space="preserve">公開日</t>
  </si>
  <si>
    <t xml:space="preserve">タイトル</t>
  </si>
  <si>
    <t xml:space="preserve">再生数</t>
  </si>
  <si>
    <t xml:space="preserve">視聴維持率</t>
  </si>
  <si>
    <t xml:space="preserve">獲得登録者</t>
  </si>
  <si>
    <t xml:space="preserve">判定</t>
  </si>
  <si>
    <t xml:space="preserve">2026-07-30</t>
  </si>
  <si>
    <r>
      <rPr>
        <sz val="10"/>
        <rFont val="Arial"/>
        <family val="0"/>
        <charset val="1"/>
      </rPr>
      <t xml:space="preserve">1</t>
    </r>
    <r>
      <rPr>
        <sz val="10"/>
        <rFont val="Noto Sans CJK SC"/>
        <family val="2"/>
      </rPr>
      <t xml:space="preserve">分ポケモン研究：レックウザの誕生に隠された秘密神話と科学が交差する瞬間</t>
    </r>
    <r>
      <rPr>
        <sz val="10"/>
        <rFont val="Arial"/>
        <family val="0"/>
        <charset val="1"/>
      </rPr>
      <t xml:space="preserve">#</t>
    </r>
    <r>
      <rPr>
        <sz val="10"/>
        <rFont val="Noto Sans CJK SC"/>
        <family val="2"/>
      </rPr>
      <t xml:space="preserve">レックウザの誕生に隠された秘密—神話と科学の交差点 </t>
    </r>
    <r>
      <rPr>
        <sz val="10"/>
        <rFont val="Arial"/>
        <family val="0"/>
        <charset val="1"/>
      </rPr>
      <t xml:space="preserve">#shorts #</t>
    </r>
    <r>
      <rPr>
        <sz val="10"/>
        <rFont val="Noto Sans CJK SC"/>
        <family val="2"/>
      </rPr>
      <t xml:space="preserve">ゆっくり解説</t>
    </r>
  </si>
  <si>
    <t xml:space="preserve">好調</t>
  </si>
  <si>
    <t xml:space="preserve">2026-08-17</t>
  </si>
  <si>
    <t xml:space="preserve">鬼の元ネタが怖すぎる — 鬼門から来る者を家に入れてはいけない理由【ショート】</t>
  </si>
  <si>
    <t xml:space="preserve">2026-08-13</t>
  </si>
  <si>
    <t xml:space="preserve">のっぺらぼうの正体が怖すぎる — 顔を奪う怪談はなぜ生まれたのか【ショート】</t>
  </si>
  <si>
    <t xml:space="preserve">2026-07-31</t>
  </si>
  <si>
    <t xml:space="preserve">エリートトレーナーの謎—なぜ彼らだけが特別なのか？【ショート】</t>
  </si>
  <si>
    <r>
      <rPr>
        <sz val="10"/>
        <rFont val="Noto Sans CJK SC"/>
        <family val="2"/>
      </rPr>
      <t xml:space="preserve">バンギラスとメタグロス、どっちが勝つ？</t>
    </r>
    <r>
      <rPr>
        <sz val="10"/>
        <rFont val="Arial"/>
        <family val="0"/>
        <charset val="1"/>
      </rPr>
      <t xml:space="preserve">600</t>
    </r>
    <r>
      <rPr>
        <sz val="10"/>
        <rFont val="Noto Sans CJK SC"/>
        <family val="2"/>
      </rPr>
      <t xml:space="preserve">族対決は持ち物</t>
    </r>
    <r>
      <rPr>
        <sz val="10"/>
        <rFont val="Arial"/>
        <family val="0"/>
        <charset val="1"/>
      </rPr>
      <t xml:space="preserve">1</t>
    </r>
    <r>
      <rPr>
        <sz val="10"/>
        <rFont val="Noto Sans CJK SC"/>
        <family val="2"/>
      </rPr>
      <t xml:space="preserve">つで逆転する【ショート】</t>
    </r>
  </si>
  <si>
    <t xml:space="preserve">2026-08-14</t>
  </si>
  <si>
    <t xml:space="preserve">ふじのやまの元ネタが怖すぎる — 山に入った人が戻れなくなる禁忌【ショート】</t>
  </si>
  <si>
    <t xml:space="preserve">2026-08-01</t>
  </si>
  <si>
    <t xml:space="preserve">ポケモン図鑑に隠された怖すぎる説明文の真相とは？【ショート】</t>
  </si>
  <si>
    <t xml:space="preserve">2026-08-10</t>
  </si>
  <si>
    <t xml:space="preserve">なぜツチノコは家に入る？隠された秘密【ショート】</t>
  </si>
  <si>
    <t xml:space="preserve">標準</t>
  </si>
  <si>
    <t xml:space="preserve">2026-08-18</t>
  </si>
  <si>
    <t xml:space="preserve">海坊主の正体が怖すぎる — 船を沈める巨大な影は何だったのか【ショート】</t>
  </si>
  <si>
    <t xml:space="preserve">2026-08-08</t>
  </si>
  <si>
    <t xml:space="preserve">一つ目小僧、なぜ江戸の文献では『会った者が帰らない』と書かれているのか【ショート】</t>
  </si>
  <si>
    <t xml:space="preserve">2026-08-06</t>
  </si>
  <si>
    <r>
      <rPr>
        <sz val="10"/>
        <rFont val="Noto Sans CJK SC"/>
        <family val="2"/>
      </rPr>
      <t xml:space="preserve">妖怪ウォッチのランク、なぜ</t>
    </r>
    <r>
      <rPr>
        <sz val="10"/>
        <rFont val="Arial"/>
        <family val="0"/>
        <charset val="1"/>
      </rPr>
      <t xml:space="preserve">S</t>
    </r>
    <r>
      <rPr>
        <sz val="10"/>
        <rFont val="Noto Sans CJK SC"/>
        <family val="2"/>
      </rPr>
      <t xml:space="preserve">が最強じゃない妖怪にも付くのか　隠された格付けの本当のところ【ショート】</t>
    </r>
  </si>
  <si>
    <t xml:space="preserve">なぜレッドは山頂に立ち続けるのか？彼の秘密に迫る！【ショート】</t>
  </si>
  <si>
    <t xml:space="preserve">2026-08-12</t>
  </si>
  <si>
    <t xml:space="preserve">なぜパルキアは勝てないと言われる？ウルトラネクロズマとの数字差が意外すぎる【ショート】</t>
  </si>
  <si>
    <t xml:space="preserve">2026-08-11</t>
  </si>
  <si>
    <t xml:space="preserve">ねちがえる、なぜか夜だけ首を狙う？金縛りの奥にある古い怪異【ショート】</t>
  </si>
  <si>
    <t xml:space="preserve">2026-08-04</t>
  </si>
  <si>
    <t xml:space="preserve">ゲンガーの『元ネタ』、実はまだ誰も正確に言えていない理由【ショート】</t>
  </si>
  <si>
    <t xml:space="preserve">河童はなぜか子どもだけを呼ぶ？水辺に残された「声」の本当の理由【ショート】</t>
  </si>
  <si>
    <r>
      <rPr>
        <sz val="10"/>
        <rFont val="Noto Sans CJK SC"/>
        <family val="2"/>
      </rPr>
      <t xml:space="preserve">なぜメタグロスはサーフゴーに勝てない？持ち物</t>
    </r>
    <r>
      <rPr>
        <sz val="10"/>
        <rFont val="Arial"/>
        <family val="0"/>
        <charset val="1"/>
      </rPr>
      <t xml:space="preserve">1</t>
    </r>
    <r>
      <rPr>
        <sz val="10"/>
        <rFont val="Noto Sans CJK SC"/>
        <family val="2"/>
      </rPr>
      <t xml:space="preserve">つで逆転する本当の理由【ショート】</t>
    </r>
  </si>
  <si>
    <t xml:space="preserve">2026-08-09</t>
  </si>
  <si>
    <r>
      <rPr>
        <sz val="10"/>
        <rFont val="Arial"/>
        <family val="0"/>
        <charset val="1"/>
      </rPr>
      <t xml:space="preserve">1</t>
    </r>
    <r>
      <rPr>
        <sz val="10"/>
        <rFont val="Noto Sans CJK SC"/>
        <family val="2"/>
      </rPr>
      <t xml:space="preserve">分妖怪ファイル：その『設定』、江戸時代には存在しなかった昭和の妖怪本が作り上げた『総大将』の正体</t>
    </r>
    <r>
      <rPr>
        <sz val="10"/>
        <rFont val="Arial"/>
        <family val="0"/>
        <charset val="1"/>
      </rPr>
      <t xml:space="preserve">#</t>
    </r>
    <r>
      <rPr>
        <sz val="10"/>
        <rFont val="Noto Sans CJK SC"/>
        <family val="2"/>
      </rPr>
      <t xml:space="preserve">ぬらりひょんが『妖怪の総大将』なのは、なぜか誰も疑わなかったのか </t>
    </r>
    <r>
      <rPr>
        <sz val="10"/>
        <rFont val="Arial"/>
        <family val="0"/>
        <charset val="1"/>
      </rPr>
      <t xml:space="preserve">#shorts #</t>
    </r>
    <r>
      <rPr>
        <sz val="10"/>
        <rFont val="Noto Sans CJK SC"/>
        <family val="2"/>
      </rPr>
      <t xml:space="preserve">ゆっくり解説</t>
    </r>
  </si>
  <si>
    <t xml:space="preserve">2026-08-05</t>
  </si>
  <si>
    <t xml:space="preserve">なぜ種族値だけで強さが変わるのか？衝撃の数字の正体とは【ショート】【ショート】</t>
  </si>
  <si>
    <t xml:space="preserve">2026-08-15</t>
  </si>
  <si>
    <t xml:space="preserve">ワイ、彼女いない歴＝年齢やけど質問ある？【ショート】</t>
  </si>
  <si>
    <t xml:space="preserve">2026-08-02</t>
  </si>
  <si>
    <t xml:space="preserve">ふぶき姫の可愛さはどこから？雪女伝承の“本当は怖い”正体とゲームの落差【ショート】</t>
  </si>
  <si>
    <r>
      <rPr>
        <sz val="10"/>
        <rFont val="Noto Sans CJK SC"/>
        <family val="2"/>
      </rPr>
      <t xml:space="preserve">リザードンとカイリュー、どっちが勝つ？</t>
    </r>
    <r>
      <rPr>
        <sz val="10"/>
        <rFont val="Arial"/>
        <family val="0"/>
        <charset val="1"/>
      </rPr>
      <t xml:space="preserve">4</t>
    </r>
    <r>
      <rPr>
        <sz val="10"/>
        <rFont val="Noto Sans CJK SC"/>
        <family val="2"/>
      </rPr>
      <t xml:space="preserve">倍弱点で勝敗がひっくり返る【ショート】</t>
    </r>
  </si>
  <si>
    <t xml:space="preserve">2026-08-03</t>
  </si>
  <si>
    <t xml:space="preserve">なぜヤドンはシェルダーに噛まれると進化するのか？分岐進化の本当の理由がヤバすぎた【ショート】</t>
  </si>
  <si>
    <t xml:space="preserve">ミミッキュとロトム、どっちが勝つ？姿変化を実戦で比べた結果【ショート】</t>
  </si>
  <si>
    <r>
      <rPr>
        <sz val="10"/>
        <rFont val="Arial"/>
        <family val="0"/>
        <charset val="1"/>
      </rPr>
      <t xml:space="preserve">1</t>
    </r>
    <r>
      <rPr>
        <sz val="10"/>
        <rFont val="Noto Sans CJK SC"/>
        <family val="2"/>
      </rPr>
      <t xml:space="preserve">分ポケモン研究：ヤドンの尻尾に隠された秘密実は痛みを感じないって本当？</t>
    </r>
    <r>
      <rPr>
        <sz val="10"/>
        <rFont val="Arial"/>
        <family val="0"/>
        <charset val="1"/>
      </rPr>
      <t xml:space="preserve">#</t>
    </r>
    <r>
      <rPr>
        <sz val="10"/>
        <rFont val="Noto Sans CJK SC"/>
        <family val="2"/>
      </rPr>
      <t xml:space="preserve">なぜヤドンの尻尾は痛くないの？驚きの理由 </t>
    </r>
    <r>
      <rPr>
        <sz val="10"/>
        <rFont val="Arial"/>
        <family val="0"/>
        <charset val="1"/>
      </rPr>
      <t xml:space="preserve">#shorts #</t>
    </r>
    <r>
      <rPr>
        <sz val="10"/>
        <rFont val="Noto Sans CJK SC"/>
        <family val="2"/>
      </rPr>
      <t xml:space="preserve">ゆっくり解説</t>
    </r>
  </si>
  <si>
    <t xml:space="preserve">なぜ初代だけ謎のポケモンが出るのか？けつばんの正体【ショート】【ショート】</t>
  </si>
  <si>
    <t xml:space="preserve">ホウオウとルギア、まともに戦わせたらどっちが勝つのか【ショート】</t>
  </si>
  <si>
    <t xml:space="preserve">なぜ御三家は炎・水・草だけ？『三すくみ』設計の裏にある本当の理由【ショート】</t>
  </si>
  <si>
    <t xml:space="preserve">妖怪ウォッチのエンマ大王、なぜか『本物』の閻魔と全然違う姿をしている【ショート】</t>
  </si>
  <si>
    <t xml:space="preserve">なぜロボニャンだけ未来から来た？隠された時系列の秘密【ショート】【ショート】</t>
  </si>
  <si>
    <r>
      <rPr>
        <sz val="10"/>
        <rFont val="Noto Sans CJK SC"/>
        <family val="2"/>
      </rPr>
      <t xml:space="preserve">なぜレックウザは空から降りないのか？図鑑</t>
    </r>
    <r>
      <rPr>
        <sz val="10"/>
        <rFont val="Arial"/>
        <family val="0"/>
        <charset val="1"/>
      </rPr>
      <t xml:space="preserve">384</t>
    </r>
    <r>
      <rPr>
        <sz val="10"/>
        <rFont val="Noto Sans CJK SC"/>
        <family val="2"/>
      </rPr>
      <t xml:space="preserve">番の誕生神話が衝撃すぎた【ショート】【ショート】</t>
    </r>
  </si>
  <si>
    <r>
      <rPr>
        <sz val="10"/>
        <rFont val="Noto Sans CJK SC"/>
        <family val="2"/>
      </rPr>
      <t xml:space="preserve">ワイの今日の昼飯を当てるスレ</t>
    </r>
    <r>
      <rPr>
        <sz val="10"/>
        <rFont val="Arial"/>
        <family val="0"/>
        <charset val="1"/>
      </rPr>
      <t xml:space="preserve">w</t>
    </r>
    <r>
      <rPr>
        <sz val="10"/>
        <rFont val="Noto Sans CJK SC"/>
        <family val="2"/>
      </rPr>
      <t xml:space="preserve">【ショート】</t>
    </r>
  </si>
  <si>
    <r>
      <rPr>
        <sz val="10"/>
        <rFont val="Noto Sans CJK SC"/>
        <family val="2"/>
      </rPr>
      <t xml:space="preserve">妖怪の名前がダジャレなのはナゼか</t>
    </r>
    <r>
      <rPr>
        <sz val="10"/>
        <rFont val="Arial"/>
        <family val="0"/>
        <charset val="1"/>
      </rPr>
      <t xml:space="preserve">? </t>
    </r>
    <r>
      <rPr>
        <sz val="10"/>
        <rFont val="Noto Sans CJK SC"/>
        <family val="2"/>
      </rPr>
      <t xml:space="preserve">名前の裏に隠された秘密【ショート】</t>
    </r>
  </si>
  <si>
    <r>
      <rPr>
        <sz val="10"/>
        <rFont val="Noto Sans CJK SC"/>
        <family val="2"/>
      </rPr>
      <t xml:space="preserve">彼女の部屋でヤバい物あげてけ</t>
    </r>
    <r>
      <rPr>
        <sz val="10"/>
        <rFont val="Arial"/>
        <family val="0"/>
        <charset val="1"/>
      </rPr>
      <t xml:space="preserve">w</t>
    </r>
    <r>
      <rPr>
        <sz val="10"/>
        <rFont val="Noto Sans CJK SC"/>
        <family val="2"/>
      </rPr>
      <t xml:space="preserve">【ショート】</t>
    </r>
  </si>
  <si>
    <t xml:space="preserve">なぜオロチはゲームで美化された？ヤマタノオロチ伝説の“本当は怖い”正体【ショート】</t>
  </si>
  <si>
    <r>
      <rPr>
        <sz val="10"/>
        <rFont val="Arial"/>
        <family val="0"/>
        <charset val="1"/>
      </rPr>
      <t xml:space="preserve">30</t>
    </r>
    <r>
      <rPr>
        <sz val="10"/>
        <rFont val="Noto Sans CJK SC"/>
        <family val="2"/>
      </rPr>
      <t xml:space="preserve">秒スレまとめ：残業代はやる気で払う</t>
    </r>
    <r>
      <rPr>
        <sz val="10"/>
        <rFont val="Arial"/>
        <family val="0"/>
        <charset val="1"/>
      </rPr>
      <t xml:space="preserve">#</t>
    </r>
    <r>
      <rPr>
        <sz val="10"/>
        <rFont val="Noto Sans CJK SC"/>
        <family val="2"/>
      </rPr>
      <t xml:space="preserve">上司「残業代はやる気で払う」発言から、なぜか全員消えた職場の末路 </t>
    </r>
    <r>
      <rPr>
        <sz val="10"/>
        <rFont val="Arial"/>
        <family val="0"/>
        <charset val="1"/>
      </rPr>
      <t xml:space="preserve">#shorts #</t>
    </r>
    <r>
      <rPr>
        <sz val="10"/>
        <rFont val="Noto Sans CJK SC"/>
        <family val="2"/>
      </rPr>
      <t xml:space="preserve">ゆっくり解説</t>
    </r>
  </si>
  <si>
    <r>
      <rPr>
        <sz val="10"/>
        <rFont val="Noto Sans CJK SC"/>
        <family val="2"/>
      </rPr>
      <t xml:space="preserve">後輩「敬語って課金制ですよね？」→翌朝、全員が黙った </t>
    </r>
    <r>
      <rPr>
        <sz val="10"/>
        <rFont val="Arial"/>
        <family val="0"/>
        <charset val="1"/>
      </rPr>
      <t xml:space="preserve">#shorts #2ch #</t>
    </r>
    <r>
      <rPr>
        <sz val="10"/>
        <rFont val="Noto Sans CJK SC"/>
        <family val="2"/>
      </rPr>
      <t xml:space="preserve">スカッと</t>
    </r>
  </si>
  <si>
    <t xml:space="preserve">2026-08-16</t>
  </si>
  <si>
    <t xml:space="preserve">なんかスマホの充電だけ遅いんやが【ショート】</t>
  </si>
  <si>
    <t xml:space="preserve">ルカリオとウルガモス、どっちが勝つ？相性有利がひっくり返る実戦条件【ショート】</t>
  </si>
  <si>
    <r>
      <rPr>
        <sz val="10"/>
        <rFont val="Noto Sans CJK SC"/>
        <family val="2"/>
      </rPr>
      <t xml:space="preserve">なぜイーブイだけ</t>
    </r>
    <r>
      <rPr>
        <sz val="10"/>
        <rFont val="Arial"/>
        <family val="0"/>
        <charset val="1"/>
      </rPr>
      <t xml:space="preserve">8</t>
    </r>
    <r>
      <rPr>
        <sz val="10"/>
        <rFont val="Noto Sans CJK SC"/>
        <family val="2"/>
      </rPr>
      <t xml:space="preserve">種類も進化できるのか？遺伝子の暴走と分岐条件の正体がヤバすぎた【ショート】</t>
    </r>
  </si>
  <si>
    <r>
      <rPr>
        <sz val="10"/>
        <rFont val="Noto Sans CJK SC"/>
        <family val="2"/>
      </rPr>
      <t xml:space="preserve">なんか</t>
    </r>
    <r>
      <rPr>
        <sz val="10"/>
        <rFont val="Arial"/>
        <family val="0"/>
        <charset val="1"/>
      </rPr>
      <t xml:space="preserve">PC</t>
    </r>
    <r>
      <rPr>
        <sz val="10"/>
        <rFont val="Noto Sans CJK SC"/>
        <family val="2"/>
      </rPr>
      <t xml:space="preserve">の画面チカチカするんやが【ショート】</t>
    </r>
  </si>
  <si>
    <t xml:space="preserve">なぜおでんじんだけ夜道に立つ？可愛い具に隠された秘密【ショート】【ショート】</t>
  </si>
  <si>
    <t xml:space="preserve">なぜ同じドラゴンなのに勝敗が割れるのか？カイリューとボーマンダの隠された実戦性能の秘密【ショート】</t>
  </si>
  <si>
    <t xml:space="preserve">なぜ浅い眠りの夜は脳がぼんやり？記憶力が激変する『睡眠の深さ』の正体【ショート】</t>
  </si>
  <si>
    <t xml:space="preserve">なぜ武士と猫が混ざった？ブシニャンの『本当のルーツ』が怖すぎる理由【ショート】</t>
  </si>
  <si>
    <r>
      <rPr>
        <sz val="10"/>
        <rFont val="Noto Sans CJK SC"/>
        <family val="2"/>
      </rPr>
      <t xml:space="preserve">なぜ毎晩</t>
    </r>
    <r>
      <rPr>
        <sz val="10"/>
        <rFont val="Arial"/>
        <family val="0"/>
        <charset val="1"/>
      </rPr>
      <t xml:space="preserve">3</t>
    </r>
    <r>
      <rPr>
        <sz val="10"/>
        <rFont val="Noto Sans CJK SC"/>
        <family val="2"/>
      </rPr>
      <t xml:space="preserve">時に目が覚める？体内時計が仕掛ける意外な罠【ショート】</t>
    </r>
  </si>
  <si>
    <r>
      <rPr>
        <sz val="10"/>
        <rFont val="Arial"/>
        <family val="0"/>
        <charset val="1"/>
      </rPr>
      <t xml:space="preserve">SCP-XXXX</t>
    </r>
    <r>
      <rPr>
        <sz val="10"/>
        <rFont val="Noto Sans CJK SC"/>
        <family val="2"/>
      </rPr>
      <t xml:space="preserve">「デジタル錯覚」— ゲームに潜む不気味な異常とは？【ショート】</t>
    </r>
  </si>
  <si>
    <r>
      <rPr>
        <sz val="10"/>
        <rFont val="Noto Sans CJK SC"/>
        <family val="2"/>
      </rPr>
      <t xml:space="preserve">絶対に二度見される部屋着あげてけ</t>
    </r>
    <r>
      <rPr>
        <sz val="10"/>
        <rFont val="Arial"/>
        <family val="0"/>
        <charset val="1"/>
      </rPr>
      <t xml:space="preserve">w</t>
    </r>
    <r>
      <rPr>
        <sz val="10"/>
        <rFont val="Noto Sans CJK SC"/>
        <family val="2"/>
      </rPr>
      <t xml:space="preserve">【ショート】</t>
    </r>
  </si>
  <si>
    <t xml:space="preserve">妖怪ウォッチの『都市伝説』、本当のところはどうなの？【ショート】</t>
  </si>
  <si>
    <r>
      <rPr>
        <sz val="10"/>
        <rFont val="Noto Sans CJK SC"/>
        <family val="2"/>
      </rPr>
      <t xml:space="preserve">一口</t>
    </r>
    <r>
      <rPr>
        <sz val="10"/>
        <rFont val="Arial"/>
        <family val="0"/>
        <charset val="1"/>
      </rPr>
      <t xml:space="preserve">SCP</t>
    </r>
    <r>
      <rPr>
        <sz val="10"/>
        <rFont val="Noto Sans CJK SC"/>
        <family val="2"/>
      </rPr>
      <t xml:space="preserve">：崇拝者が自然発生——収容できたのは『実体』ではなかった収容違反発生・職員接触者の生存率：記録抹消</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t>
    </r>
    <r>
      <rPr>
        <sz val="10"/>
        <rFont val="Arial"/>
        <family val="0"/>
        <charset val="1"/>
      </rPr>
      <t xml:space="preserve">SCP-2662——</t>
    </r>
    <r>
      <rPr>
        <sz val="10"/>
        <rFont val="Noto Sans CJK SC"/>
        <family val="2"/>
      </rPr>
      <t xml:space="preserve">崇拝者が自然発生する施設、生存率</t>
    </r>
    <r>
      <rPr>
        <sz val="10"/>
        <rFont val="Arial"/>
        <family val="0"/>
        <charset val="1"/>
      </rPr>
      <t xml:space="preserve">0%</t>
    </r>
    <r>
      <rPr>
        <sz val="10"/>
        <rFont val="Noto Sans CJK SC"/>
        <family val="2"/>
      </rPr>
      <t xml:space="preserve">の収容違反</t>
    </r>
  </si>
  <si>
    <r>
      <rPr>
        <sz val="10"/>
        <rFont val="Noto Sans CJK SC"/>
        <family val="2"/>
      </rPr>
      <t xml:space="preserve">朝がつらい！そんなあなたに朗報！</t>
    </r>
    <r>
      <rPr>
        <sz val="10"/>
        <rFont val="Arial"/>
        <family val="0"/>
        <charset val="1"/>
      </rPr>
      <t xml:space="preserve">#</t>
    </r>
    <r>
      <rPr>
        <sz val="10"/>
        <rFont val="Noto Sans CJK SC"/>
        <family val="2"/>
      </rPr>
      <t xml:space="preserve">やる気が出ない朝を劇的に変える</t>
    </r>
    <r>
      <rPr>
        <sz val="10"/>
        <rFont val="Arial"/>
        <family val="0"/>
        <charset val="1"/>
      </rPr>
      <t xml:space="preserve">!?</t>
    </r>
    <r>
      <rPr>
        <sz val="10"/>
        <rFont val="Noto Sans CJK SC"/>
        <family val="2"/>
      </rPr>
      <t xml:space="preserve">たった</t>
    </r>
    <r>
      <rPr>
        <sz val="10"/>
        <rFont val="Arial"/>
        <family val="0"/>
        <charset val="1"/>
      </rPr>
      <t xml:space="preserve">5</t>
    </r>
    <r>
      <rPr>
        <sz val="10"/>
        <rFont val="Noto Sans CJK SC"/>
        <family val="2"/>
      </rPr>
      <t xml:space="preserve">分の脳科学的ルーティン </t>
    </r>
    <r>
      <rPr>
        <sz val="10"/>
        <rFont val="Arial"/>
        <family val="0"/>
        <charset val="1"/>
      </rPr>
      <t xml:space="preserve">#shorts #</t>
    </r>
    <r>
      <rPr>
        <sz val="10"/>
        <rFont val="Noto Sans CJK SC"/>
        <family val="2"/>
      </rPr>
      <t xml:space="preserve">ゆっくり解説</t>
    </r>
  </si>
  <si>
    <r>
      <rPr>
        <sz val="10"/>
        <rFont val="Noto Sans CJK SC"/>
        <family val="2"/>
      </rPr>
      <t xml:space="preserve">ワイのキーボードの変な癖あげてけ</t>
    </r>
    <r>
      <rPr>
        <sz val="10"/>
        <rFont val="Arial"/>
        <family val="0"/>
        <charset val="1"/>
      </rPr>
      <t xml:space="preserve">w</t>
    </r>
    <r>
      <rPr>
        <sz val="10"/>
        <rFont val="Noto Sans CJK SC"/>
        <family val="2"/>
      </rPr>
      <t xml:space="preserve">【ショート】</t>
    </r>
  </si>
  <si>
    <t xml:space="preserve">花子さんの正体 — なぜ学校のトイレで「三番目」なのか【ショート】</t>
  </si>
  <si>
    <r>
      <rPr>
        <sz val="10"/>
        <rFont val="Noto Sans CJK SC"/>
        <family val="2"/>
      </rPr>
      <t xml:space="preserve">脳が生み出す天然モルヒネの秘密に迫るあなたの体で今も起きている現象</t>
    </r>
    <r>
      <rPr>
        <sz val="10"/>
        <rFont val="Arial"/>
        <family val="0"/>
        <charset val="1"/>
      </rPr>
      <t xml:space="preserve">#</t>
    </r>
    <r>
      <rPr>
        <sz val="10"/>
        <rFont val="Noto Sans CJK SC"/>
        <family val="2"/>
      </rPr>
      <t xml:space="preserve">なぜ脳は天然モルヒネを作る？エンドルフィンの驚きの正体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</si>
  <si>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99%</t>
    </r>
    <r>
      <rPr>
        <sz val="10"/>
        <rFont val="Noto Sans CJK SC"/>
        <family val="2"/>
      </rPr>
      <t xml:space="preserve">の人が知らない恐怖財団が</t>
    </r>
    <r>
      <rPr>
        <sz val="10"/>
        <rFont val="Arial"/>
        <family val="0"/>
        <charset val="1"/>
      </rPr>
      <t xml:space="preserve">23</t>
    </r>
    <r>
      <rPr>
        <sz val="10"/>
        <rFont val="Noto Sans CJK SC"/>
        <family val="2"/>
      </rPr>
      <t xml:space="preserve">年間隠し続けた</t>
    </r>
    <r>
      <rPr>
        <sz val="10"/>
        <rFont val="Arial"/>
        <family val="0"/>
        <charset val="1"/>
      </rPr>
      <t xml:space="preserve">#</t>
    </r>
    <r>
      <rPr>
        <sz val="10"/>
        <rFont val="Noto Sans CJK SC"/>
        <family val="2"/>
      </rPr>
      <t xml:space="preserve">財団が隠蔽した</t>
    </r>
    <r>
      <rPr>
        <sz val="10"/>
        <rFont val="Arial"/>
        <family val="0"/>
        <charset val="1"/>
      </rPr>
      <t xml:space="preserve">SCP-3125</t>
    </r>
    <r>
      <rPr>
        <sz val="10"/>
        <rFont val="Noto Sans CJK SC"/>
        <family val="2"/>
      </rPr>
      <t xml:space="preserve">の恐怖</t>
    </r>
    <r>
      <rPr>
        <sz val="10"/>
        <rFont val="Arial"/>
        <family val="0"/>
        <charset val="1"/>
      </rPr>
      <t xml:space="preserve">: </t>
    </r>
    <r>
      <rPr>
        <sz val="10"/>
        <rFont val="Noto Sans CJK SC"/>
        <family val="2"/>
      </rPr>
      <t xml:space="preserve">生存者</t>
    </r>
    <r>
      <rPr>
        <sz val="10"/>
        <rFont val="Arial"/>
        <family val="0"/>
        <charset val="1"/>
      </rPr>
      <t xml:space="preserve">0</t>
    </r>
    <r>
      <rPr>
        <sz val="10"/>
        <rFont val="Noto Sans CJK SC"/>
        <family val="2"/>
      </rPr>
      <t xml:space="preserve">名の理由 </t>
    </r>
    <r>
      <rPr>
        <sz val="10"/>
        <rFont val="Arial"/>
        <family val="0"/>
        <charset val="1"/>
      </rPr>
      <t xml:space="preserve">#shorts #</t>
    </r>
    <r>
      <rPr>
        <sz val="10"/>
        <rFont val="Noto Sans CJK SC"/>
        <family val="2"/>
      </rPr>
      <t xml:space="preserve">ゆっくり解説</t>
    </r>
  </si>
  <si>
    <r>
      <rPr>
        <sz val="10"/>
        <rFont val="Arial"/>
        <family val="0"/>
        <charset val="1"/>
      </rPr>
      <t xml:space="preserve">1</t>
    </r>
    <r>
      <rPr>
        <sz val="10"/>
        <rFont val="Noto Sans CJK SC"/>
        <family val="2"/>
      </rPr>
      <t xml:space="preserve">分妖怪ファイル：なぜ妖怪ウォッチだけ？主人公の秘密</t>
    </r>
    <r>
      <rPr>
        <sz val="10"/>
        <rFont val="Arial"/>
        <family val="0"/>
        <charset val="1"/>
      </rPr>
      <t xml:space="preserve">#</t>
    </r>
    <r>
      <rPr>
        <sz val="10"/>
        <rFont val="Noto Sans CJK SC"/>
        <family val="2"/>
      </rPr>
      <t xml:space="preserve">妖怪ウォッチで主人公だけが妖怪を見られる理由 </t>
    </r>
    <r>
      <rPr>
        <sz val="10"/>
        <rFont val="Arial"/>
        <family val="0"/>
        <charset val="1"/>
      </rPr>
      <t xml:space="preserve">#shorts #</t>
    </r>
    <r>
      <rPr>
        <sz val="10"/>
        <rFont val="Noto Sans CJK SC"/>
        <family val="2"/>
      </rPr>
      <t xml:space="preserve">ゆっくり解説</t>
    </r>
  </si>
  <si>
    <t xml:space="preserve">なぜコマさんの秘密？神社の狛犬と田舎の意外なつながり【ショート】</t>
  </si>
  <si>
    <t xml:space="preserve">2026-07-23</t>
  </si>
  <si>
    <r>
      <rPr>
        <sz val="10"/>
        <rFont val="Noto Sans CJK SC"/>
        <family val="2"/>
      </rPr>
      <t xml:space="preserve">知らない方がよかったかも食べ物の匂いが記憶を蘇らせる理由</t>
    </r>
    <r>
      <rPr>
        <sz val="10"/>
        <rFont val="Arial"/>
        <family val="0"/>
        <charset val="1"/>
      </rPr>
      <t xml:space="preserve">#</t>
    </r>
    <r>
      <rPr>
        <sz val="10"/>
        <rFont val="Noto Sans CJK SC"/>
        <family val="2"/>
      </rPr>
      <t xml:space="preserve">なぜ食べ物の匂いで記憶が蘇る？意外な脳の秘密 </t>
    </r>
    <r>
      <rPr>
        <sz val="10"/>
        <rFont val="Arial"/>
        <family val="0"/>
        <charset val="1"/>
      </rPr>
      <t xml:space="preserve">#shorts #</t>
    </r>
    <r>
      <rPr>
        <sz val="10"/>
        <rFont val="Noto Sans CJK SC"/>
        <family val="2"/>
      </rPr>
      <t xml:space="preserve">ゆっくり解説</t>
    </r>
  </si>
  <si>
    <t xml:space="preserve">実際には存在しないけどありそうな県名あげてけ【ショート】</t>
  </si>
  <si>
    <r>
      <rPr>
        <sz val="10"/>
        <rFont val="Noto Sans CJK SC"/>
        <family val="2"/>
      </rPr>
      <t xml:space="preserve">存在しないゲームの迷惑機能あげてけ</t>
    </r>
    <r>
      <rPr>
        <sz val="10"/>
        <rFont val="Arial"/>
        <family val="0"/>
        <charset val="1"/>
      </rPr>
      <t xml:space="preserve">w</t>
    </r>
    <r>
      <rPr>
        <sz val="10"/>
        <rFont val="Noto Sans CJK SC"/>
        <family val="2"/>
      </rPr>
      <t xml:space="preserve">【ショート】</t>
    </r>
  </si>
  <si>
    <r>
      <rPr>
        <sz val="10"/>
        <rFont val="Noto Sans CJK SC"/>
        <family val="2"/>
      </rPr>
      <t xml:space="preserve">なぜ寒くないのに鳥肌が立つ？</t>
    </r>
    <r>
      <rPr>
        <sz val="10"/>
        <rFont val="Arial"/>
        <family val="0"/>
        <charset val="1"/>
      </rPr>
      <t xml:space="preserve">90%</t>
    </r>
    <r>
      <rPr>
        <sz val="10"/>
        <rFont val="Noto Sans CJK SC"/>
        <family val="2"/>
      </rPr>
      <t xml:space="preserve">が勘違いする</t>
    </r>
    <r>
      <rPr>
        <sz val="10"/>
        <rFont val="Arial"/>
        <family val="0"/>
        <charset val="1"/>
      </rPr>
      <t xml:space="preserve">2</t>
    </r>
    <r>
      <rPr>
        <sz val="10"/>
        <rFont val="Noto Sans CJK SC"/>
        <family val="2"/>
      </rPr>
      <t xml:space="preserve">つの反応の正体【ショート】【ショート】</t>
    </r>
  </si>
  <si>
    <t xml:space="preserve">2026-07-28</t>
  </si>
  <si>
    <t xml:space="preserve">食欲を操る色の魔法！なぜ『色』が食欲に影響を与えるのか？【ショート】</t>
  </si>
  <si>
    <r>
      <rPr>
        <sz val="10"/>
        <rFont val="Noto Sans CJK SC"/>
        <family val="2"/>
      </rPr>
      <t xml:space="preserve">なぜコイキングは種族値</t>
    </r>
    <r>
      <rPr>
        <sz val="10"/>
        <rFont val="Arial"/>
        <family val="0"/>
        <charset val="1"/>
      </rPr>
      <t xml:space="preserve">200</t>
    </r>
    <r>
      <rPr>
        <sz val="10"/>
        <rFont val="Noto Sans CJK SC"/>
        <family val="2"/>
      </rPr>
      <t xml:space="preserve">なのか？進化前だけ弱すぎる本当の理由がヤバすぎた【ショート】</t>
    </r>
  </si>
  <si>
    <t xml:space="preserve">2026-07-24</t>
  </si>
  <si>
    <r>
      <rPr>
        <sz val="10"/>
        <rFont val="Noto Sans CJK SC"/>
        <family val="2"/>
      </rPr>
      <t xml:space="preserve">夢の中で音を感じる理由実は脳が作り出した</t>
    </r>
    <r>
      <rPr>
        <sz val="10"/>
        <rFont val="Arial"/>
        <family val="0"/>
        <charset val="1"/>
      </rPr>
      <t xml:space="preserve">!?#99%</t>
    </r>
    <r>
      <rPr>
        <sz val="10"/>
        <rFont val="Noto Sans CJK SC"/>
        <family val="2"/>
      </rPr>
      <t xml:space="preserve">が知らない夢の『音』の正体 </t>
    </r>
    <r>
      <rPr>
        <sz val="10"/>
        <rFont val="Arial"/>
        <family val="0"/>
        <charset val="1"/>
      </rPr>
      <t xml:space="preserve">#shorts #</t>
    </r>
    <r>
      <rPr>
        <sz val="10"/>
        <rFont val="Noto Sans CJK SC"/>
        <family val="2"/>
      </rPr>
      <t xml:space="preserve">ゆっくり解説</t>
    </r>
  </si>
  <si>
    <r>
      <rPr>
        <sz val="10"/>
        <rFont val="Arial"/>
        <family val="0"/>
        <charset val="1"/>
      </rPr>
      <t xml:space="preserve">SCP-7004</t>
    </r>
    <r>
      <rPr>
        <sz val="10"/>
        <rFont val="Noto Sans CJK SC"/>
        <family val="2"/>
      </rPr>
      <t xml:space="preserve">「終末の観測者」— 収容都市は</t>
    </r>
    <r>
      <rPr>
        <sz val="10"/>
        <rFont val="Arial"/>
        <family val="0"/>
        <charset val="1"/>
      </rPr>
      <t xml:space="preserve">9</t>
    </r>
    <r>
      <rPr>
        <sz val="10"/>
        <rFont val="Noto Sans CJK SC"/>
        <family val="2"/>
      </rPr>
      <t xml:space="preserve">日で住民全員を失った【最後の記録】【ショート】</t>
    </r>
  </si>
  <si>
    <t xml:space="preserve">2026-07-29</t>
  </si>
  <si>
    <t xml:space="preserve">実は、見えるはずなのに見えない脅威が存在する理由【ショート】</t>
  </si>
  <si>
    <r>
      <rPr>
        <sz val="10"/>
        <rFont val="Noto Sans CJK SC"/>
        <family val="2"/>
      </rPr>
      <t xml:space="preserve">なぜ今飲んだ炭酸は鼻までツーンとするのか？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秒の刺激ルート【ショート】</t>
    </r>
  </si>
  <si>
    <r>
      <rPr>
        <sz val="10"/>
        <rFont val="Arial"/>
        <family val="0"/>
        <charset val="1"/>
      </rPr>
      <t xml:space="preserve">1</t>
    </r>
    <r>
      <rPr>
        <sz val="10"/>
        <rFont val="Noto Sans CJK SC"/>
        <family val="2"/>
      </rPr>
      <t xml:space="preserve">分ポケモン研究：なぜピカチュウだけ？図鑑</t>
    </r>
    <r>
      <rPr>
        <sz val="10"/>
        <rFont val="Arial"/>
        <family val="0"/>
        <charset val="1"/>
      </rPr>
      <t xml:space="preserve">778</t>
    </r>
    <r>
      <rPr>
        <sz val="10"/>
        <rFont val="Noto Sans CJK SC"/>
        <family val="2"/>
      </rPr>
      <t xml:space="preserve">番の本音</t>
    </r>
    <r>
      <rPr>
        <sz val="10"/>
        <rFont val="Arial"/>
        <family val="0"/>
        <charset val="1"/>
      </rPr>
      <t xml:space="preserve">#</t>
    </r>
    <r>
      <rPr>
        <sz val="10"/>
        <rFont val="Noto Sans CJK SC"/>
        <family val="2"/>
      </rPr>
      <t xml:space="preserve">なぜ図鑑</t>
    </r>
    <r>
      <rPr>
        <sz val="10"/>
        <rFont val="Arial"/>
        <family val="0"/>
        <charset val="1"/>
      </rPr>
      <t xml:space="preserve">778</t>
    </r>
    <r>
      <rPr>
        <sz val="10"/>
        <rFont val="Noto Sans CJK SC"/>
        <family val="2"/>
      </rPr>
      <t xml:space="preserve">番はピカチュウだけ真似るのか？理由が意外すぎた【ショート】 </t>
    </r>
    <r>
      <rPr>
        <sz val="10"/>
        <rFont val="Arial"/>
        <family val="0"/>
        <charset val="1"/>
      </rPr>
      <t xml:space="preserve">#shorts #</t>
    </r>
    <r>
      <rPr>
        <sz val="10"/>
        <rFont val="Noto Sans CJK SC"/>
        <family val="2"/>
      </rPr>
      <t xml:space="preserve">ゆっくり解説</t>
    </r>
  </si>
  <si>
    <t xml:space="preserve">コンビニで一番いらん商品あげてけ【ショート】</t>
  </si>
  <si>
    <t xml:space="preserve">2026-07-25</t>
  </si>
  <si>
    <r>
      <rPr>
        <sz val="10"/>
        <rFont val="Noto Sans CJK SC"/>
        <family val="2"/>
      </rPr>
      <t xml:space="preserve">一口</t>
    </r>
    <r>
      <rPr>
        <sz val="10"/>
        <rFont val="Arial"/>
        <family val="0"/>
        <charset val="1"/>
      </rPr>
      <t xml:space="preserve">SCP</t>
    </r>
    <r>
      <rPr>
        <sz val="10"/>
        <rFont val="Noto Sans CJK SC"/>
        <family val="2"/>
      </rPr>
      <t xml:space="preserve">：世界人口</t>
    </r>
    <r>
      <rPr>
        <sz val="10"/>
        <rFont val="Arial"/>
        <family val="0"/>
        <charset val="1"/>
      </rPr>
      <t xml:space="preserve">80</t>
    </r>
    <r>
      <rPr>
        <sz val="10"/>
        <rFont val="Noto Sans CJK SC"/>
        <family val="2"/>
      </rPr>
      <t xml:space="preserve">億人→</t>
    </r>
    <r>
      <rPr>
        <sz val="10"/>
        <rFont val="Arial"/>
        <family val="0"/>
        <charset val="1"/>
      </rPr>
      <t xml:space="preserve">7</t>
    </r>
    <r>
      <rPr>
        <sz val="10"/>
        <rFont val="Noto Sans CJK SC"/>
        <family val="2"/>
      </rPr>
      <t xml:space="preserve">億人 自動起動財団内部記録【閲覧権限</t>
    </r>
    <r>
      <rPr>
        <sz val="10"/>
        <rFont val="Arial"/>
        <family val="0"/>
        <charset val="1"/>
      </rPr>
      <t xml:space="preserve">O5</t>
    </r>
    <r>
      <rPr>
        <sz val="10"/>
        <rFont val="Noto Sans CJK SC"/>
        <family val="2"/>
      </rPr>
      <t xml:space="preserve">以上】</t>
    </r>
    <r>
      <rPr>
        <sz val="10"/>
        <rFont val="Arial"/>
        <family val="0"/>
        <charset val="1"/>
      </rPr>
      <t xml:space="preserve">#SCP-5000</t>
    </r>
    <r>
      <rPr>
        <sz val="10"/>
        <rFont val="Noto Sans CJK SC"/>
        <family val="2"/>
      </rPr>
      <t xml:space="preserve">が起動した</t>
    </r>
    <r>
      <rPr>
        <sz val="10"/>
        <rFont val="Arial"/>
        <family val="0"/>
        <charset val="1"/>
      </rPr>
      <t xml:space="preserve">48</t>
    </r>
    <r>
      <rPr>
        <sz val="10"/>
        <rFont val="Noto Sans CJK SC"/>
        <family val="2"/>
      </rPr>
      <t xml:space="preserve">時間——あなたの街で財団が隠した『人類抹消プロトコル』の正体 </t>
    </r>
    <r>
      <rPr>
        <sz val="10"/>
        <rFont val="Arial"/>
        <family val="0"/>
        <charset val="1"/>
      </rPr>
      <t xml:space="preserve">#shorts #</t>
    </r>
    <r>
      <rPr>
        <sz val="10"/>
        <rFont val="Noto Sans CJK SC"/>
        <family val="2"/>
      </rPr>
      <t xml:space="preserve">ゆっくり解</t>
    </r>
  </si>
  <si>
    <r>
      <rPr>
        <sz val="10"/>
        <rFont val="Noto Sans CJK SC"/>
        <family val="2"/>
      </rPr>
      <t xml:space="preserve">ストレスで体がかゆくなる？</t>
    </r>
    <r>
      <rPr>
        <sz val="10"/>
        <rFont val="Arial"/>
        <family val="0"/>
        <charset val="1"/>
      </rPr>
      <t xml:space="preserve">99%</t>
    </r>
    <r>
      <rPr>
        <sz val="10"/>
        <rFont val="Noto Sans CJK SC"/>
        <family val="2"/>
      </rPr>
      <t xml:space="preserve">が知らない意外な理由</t>
    </r>
    <r>
      <rPr>
        <sz val="10"/>
        <rFont val="Arial"/>
        <family val="0"/>
        <charset val="1"/>
      </rPr>
      <t xml:space="preserve">#</t>
    </r>
    <r>
      <rPr>
        <sz val="10"/>
        <rFont val="Noto Sans CJK SC"/>
        <family val="2"/>
      </rPr>
      <t xml:space="preserve">なぜストレスで体がかゆくなるのか？</t>
    </r>
    <r>
      <rPr>
        <sz val="10"/>
        <rFont val="Arial"/>
        <family val="0"/>
        <charset val="1"/>
      </rPr>
      <t xml:space="preserve">99%</t>
    </r>
    <r>
      <rPr>
        <sz val="10"/>
        <rFont val="Noto Sans CJK SC"/>
        <family val="2"/>
      </rPr>
      <t xml:space="preserve">が知らない意外な理由 </t>
    </r>
    <r>
      <rPr>
        <sz val="10"/>
        <rFont val="Arial"/>
        <family val="0"/>
        <charset val="1"/>
      </rPr>
      <t xml:space="preserve">#shorts #</t>
    </r>
    <r>
      <rPr>
        <sz val="10"/>
        <rFont val="Noto Sans CJK SC"/>
        <family val="2"/>
      </rPr>
      <t xml:space="preserve">ゆっくり解説</t>
    </r>
  </si>
  <si>
    <r>
      <rPr>
        <sz val="10"/>
        <rFont val="Arial"/>
        <family val="0"/>
        <charset val="1"/>
      </rPr>
      <t xml:space="preserve">SCP-1690</t>
    </r>
    <r>
      <rPr>
        <sz val="10"/>
        <rFont val="Noto Sans CJK SC"/>
        <family val="2"/>
      </rPr>
      <t xml:space="preserve">「廃棄された文明の記録」— 発掘地点</t>
    </r>
    <r>
      <rPr>
        <sz val="10"/>
        <rFont val="Arial"/>
        <family val="0"/>
        <charset val="1"/>
      </rPr>
      <t xml:space="preserve">12</t>
    </r>
    <r>
      <rPr>
        <sz val="10"/>
        <rFont val="Noto Sans CJK SC"/>
        <family val="2"/>
      </rPr>
      <t xml:space="preserve">か所、通信断絶から</t>
    </r>
    <r>
      <rPr>
        <sz val="10"/>
        <rFont val="Arial"/>
        <family val="0"/>
        <charset val="1"/>
      </rPr>
      <t xml:space="preserve">83</t>
    </r>
    <r>
      <rPr>
        <sz val="10"/>
        <rFont val="Noto Sans CJK SC"/>
        <family val="2"/>
      </rPr>
      <t xml:space="preserve">年後に収容【ショート】</t>
    </r>
  </si>
  <si>
    <r>
      <rPr>
        <sz val="10"/>
        <rFont val="Noto Sans CJK SC"/>
        <family val="2"/>
      </rPr>
      <t xml:space="preserve">なぜ夢の続きを見た気がするのか？</t>
    </r>
    <r>
      <rPr>
        <sz val="10"/>
        <rFont val="Arial"/>
        <family val="0"/>
        <charset val="1"/>
      </rPr>
      <t xml:space="preserve">99%</t>
    </r>
    <r>
      <rPr>
        <sz val="10"/>
        <rFont val="Noto Sans CJK SC"/>
        <family val="2"/>
      </rPr>
      <t xml:space="preserve">が知らない目覚め後</t>
    </r>
    <r>
      <rPr>
        <sz val="10"/>
        <rFont val="Arial"/>
        <family val="0"/>
        <charset val="1"/>
      </rPr>
      <t xml:space="preserve">5</t>
    </r>
    <r>
      <rPr>
        <sz val="10"/>
        <rFont val="Noto Sans CJK SC"/>
        <family val="2"/>
      </rPr>
      <t xml:space="preserve">分の記憶再構成【ショート】</t>
    </r>
  </si>
  <si>
    <r>
      <rPr>
        <sz val="10"/>
        <rFont val="Noto Sans CJK SC"/>
        <family val="2"/>
      </rPr>
      <t xml:space="preserve">昨夜の夢、なぜ</t>
    </r>
    <r>
      <rPr>
        <sz val="10"/>
        <rFont val="Arial"/>
        <family val="0"/>
        <charset val="1"/>
      </rPr>
      <t xml:space="preserve">12</t>
    </r>
    <r>
      <rPr>
        <sz val="10"/>
        <rFont val="Noto Sans CJK SC"/>
        <family val="2"/>
      </rPr>
      <t xml:space="preserve">分なのに何時間もいた気がする？</t>
    </r>
    <r>
      <rPr>
        <sz val="10"/>
        <rFont val="Arial"/>
        <family val="0"/>
        <charset val="1"/>
      </rPr>
      <t xml:space="preserve">9</t>
    </r>
    <r>
      <rPr>
        <sz val="10"/>
        <rFont val="Noto Sans CJK SC"/>
        <family val="2"/>
      </rPr>
      <t xml:space="preserve">割が勘違いする時間感覚【ショート】</t>
    </r>
  </si>
  <si>
    <r>
      <rPr>
        <sz val="10"/>
        <rFont val="Noto Sans CJK SC"/>
        <family val="2"/>
      </rPr>
      <t xml:space="preserve">目が開いてるのに状況が分からない謎の数秒</t>
    </r>
    <r>
      <rPr>
        <sz val="10"/>
        <rFont val="Arial"/>
        <family val="0"/>
        <charset val="1"/>
      </rPr>
      <t xml:space="preserve">#</t>
    </r>
    <r>
      <rPr>
        <sz val="10"/>
        <rFont val="Noto Sans CJK SC"/>
        <family val="2"/>
      </rPr>
      <t xml:space="preserve">目が開いてるのに『ここどこ？』ってなる寝起きの数秒、脳の中で何が起きてるの？ </t>
    </r>
    <r>
      <rPr>
        <sz val="10"/>
        <rFont val="Arial"/>
        <family val="0"/>
        <charset val="1"/>
      </rPr>
      <t xml:space="preserve">#shorts #</t>
    </r>
    <r>
      <rPr>
        <sz val="10"/>
        <rFont val="Noto Sans CJK SC"/>
        <family val="2"/>
      </rPr>
      <t xml:space="preserve">ゆっくり解説</t>
    </r>
  </si>
  <si>
    <r>
      <rPr>
        <sz val="10"/>
        <rFont val="Arial"/>
        <family val="0"/>
        <charset val="1"/>
      </rPr>
      <t xml:space="preserve">SCP-2399</t>
    </r>
    <r>
      <rPr>
        <sz val="10"/>
        <rFont val="Noto Sans CJK SC"/>
        <family val="2"/>
      </rPr>
      <t xml:space="preserve">収容記録：地球まで</t>
    </r>
    <r>
      <rPr>
        <sz val="10"/>
        <rFont val="Arial"/>
        <family val="0"/>
        <charset val="1"/>
      </rPr>
      <t xml:space="preserve">72</t>
    </r>
    <r>
      <rPr>
        <sz val="10"/>
        <rFont val="Noto Sans CJK SC"/>
        <family val="2"/>
      </rPr>
      <t xml:space="preserve">時間、なぜ迎撃隊だけ全滅したのか【最後の軌道通信】【ショート】</t>
    </r>
  </si>
  <si>
    <r>
      <rPr>
        <sz val="10"/>
        <rFont val="Noto Sans CJK SC"/>
        <family val="2"/>
      </rPr>
      <t xml:space="preserve">今朝なぜ寒い？</t>
    </r>
    <r>
      <rPr>
        <sz val="10"/>
        <rFont val="Arial"/>
        <family val="0"/>
        <charset val="1"/>
      </rPr>
      <t xml:space="preserve">99%</t>
    </r>
    <r>
      <rPr>
        <sz val="10"/>
        <rFont val="Noto Sans CJK SC"/>
        <family val="2"/>
      </rPr>
      <t xml:space="preserve">が知らない体温</t>
    </r>
    <r>
      <rPr>
        <sz val="10"/>
        <rFont val="Arial"/>
        <family val="0"/>
        <charset val="1"/>
      </rPr>
      <t xml:space="preserve">0.5</t>
    </r>
    <r>
      <rPr>
        <sz val="10"/>
        <rFont val="Noto Sans CJK SC"/>
        <family val="2"/>
      </rPr>
      <t xml:space="preserve">度の罠——目覚め直後に起きること【ショート】【ショート】</t>
    </r>
  </si>
  <si>
    <r>
      <rPr>
        <sz val="10"/>
        <rFont val="Noto Sans CJK SC"/>
        <family val="2"/>
      </rPr>
      <t xml:space="preserve">なぜ金縛りは『仰向け』で</t>
    </r>
    <r>
      <rPr>
        <sz val="10"/>
        <rFont val="Arial"/>
        <family val="0"/>
        <charset val="1"/>
      </rPr>
      <t xml:space="preserve">2</t>
    </r>
    <r>
      <rPr>
        <sz val="10"/>
        <rFont val="Noto Sans CJK SC"/>
        <family val="2"/>
      </rPr>
      <t xml:space="preserve">倍も起きやすい？体勢で激変する眠りの謎【ショート】</t>
    </r>
  </si>
  <si>
    <r>
      <rPr>
        <sz val="10"/>
        <rFont val="Noto Sans CJK SC"/>
        <family val="2"/>
      </rPr>
      <t xml:space="preserve">なぜ生存率</t>
    </r>
    <r>
      <rPr>
        <sz val="10"/>
        <rFont val="Arial"/>
        <family val="0"/>
        <charset val="1"/>
      </rPr>
      <t xml:space="preserve">5%</t>
    </r>
    <r>
      <rPr>
        <sz val="10"/>
        <rFont val="Noto Sans CJK SC"/>
        <family val="2"/>
      </rPr>
      <t xml:space="preserve">？『生ける死者』</t>
    </r>
    <r>
      <rPr>
        <sz val="10"/>
        <rFont val="Arial"/>
        <family val="0"/>
        <charset val="1"/>
      </rPr>
      <t xml:space="preserve">SCP-1440</t>
    </r>
    <r>
      <rPr>
        <sz val="10"/>
        <rFont val="Noto Sans CJK SC"/>
        <family val="2"/>
      </rPr>
      <t xml:space="preserve">が財団を</t>
    </r>
    <r>
      <rPr>
        <sz val="10"/>
        <rFont val="Arial"/>
        <family val="0"/>
        <charset val="1"/>
      </rPr>
      <t xml:space="preserve">12</t>
    </r>
    <r>
      <rPr>
        <sz val="10"/>
        <rFont val="Noto Sans CJK SC"/>
        <family val="2"/>
      </rPr>
      <t xml:space="preserve">回暴走させた本当の理由【ショート】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</si>
  <si>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：収容違反</t>
    </r>
    <r>
      <rPr>
        <sz val="10"/>
        <rFont val="Arial"/>
        <family val="0"/>
        <charset val="1"/>
      </rPr>
      <t xml:space="preserve">17</t>
    </r>
    <r>
      <rPr>
        <sz val="10"/>
        <rFont val="Noto Sans CJK SC"/>
        <family val="2"/>
      </rPr>
      <t xml:space="preserve">時間／生存者</t>
    </r>
    <r>
      <rPr>
        <sz val="10"/>
        <rFont val="Arial"/>
        <family val="0"/>
        <charset val="1"/>
      </rPr>
      <t xml:space="preserve">0</t>
    </r>
    <r>
      <rPr>
        <sz val="10"/>
        <rFont val="Noto Sans CJK SC"/>
        <family val="2"/>
      </rPr>
      <t xml:space="preserve">名財団が封印した『悪夢のデバイス』の正体</t>
    </r>
    <r>
      <rPr>
        <sz val="10"/>
        <rFont val="Arial"/>
        <family val="0"/>
        <charset val="1"/>
      </rPr>
      <t xml:space="preserve">#</t>
    </r>
    <r>
      <rPr>
        <sz val="10"/>
        <rFont val="Noto Sans CJK SC"/>
        <family val="2"/>
      </rPr>
      <t xml:space="preserve">収容違反から</t>
    </r>
    <r>
      <rPr>
        <sz val="10"/>
        <rFont val="Arial"/>
        <family val="0"/>
        <charset val="1"/>
      </rPr>
      <t xml:space="preserve">17</t>
    </r>
    <r>
      <rPr>
        <sz val="10"/>
        <rFont val="Noto Sans CJK SC"/>
        <family val="2"/>
      </rPr>
      <t xml:space="preserve">時間——</t>
    </r>
    <r>
      <rPr>
        <sz val="10"/>
        <rFont val="Arial"/>
        <family val="0"/>
        <charset val="1"/>
      </rPr>
      <t xml:space="preserve">SCP-1346</t>
    </r>
    <r>
      <rPr>
        <sz val="10"/>
        <rFont val="Noto Sans CJK SC"/>
        <family val="2"/>
      </rPr>
      <t xml:space="preserve">「悪夢のデバイス」が財団施設で何をしたか、報告書は</t>
    </r>
    <r>
      <rPr>
        <sz val="10"/>
        <rFont val="Arial"/>
        <family val="0"/>
        <charset val="1"/>
      </rPr>
      <t xml:space="preserve">[DATA EXPUNGED]</t>
    </r>
  </si>
  <si>
    <r>
      <rPr>
        <sz val="10"/>
        <rFont val="Noto Sans CJK SC"/>
        <family val="2"/>
      </rPr>
      <t xml:space="preserve">本を開いた瞬間に眠くなる理由集中しているのに眠い『逆説』の正体</t>
    </r>
    <r>
      <rPr>
        <sz val="10"/>
        <rFont val="Arial"/>
        <family val="0"/>
        <charset val="1"/>
      </rPr>
      <t xml:space="preserve">#</t>
    </r>
    <r>
      <rPr>
        <sz val="10"/>
        <rFont val="Noto Sans CJK SC"/>
        <family val="2"/>
      </rPr>
      <t xml:space="preserve">本を読むと</t>
    </r>
    <r>
      <rPr>
        <sz val="10"/>
        <rFont val="Arial"/>
        <family val="0"/>
        <charset val="1"/>
      </rPr>
      <t xml:space="preserve">90%</t>
    </r>
    <r>
      <rPr>
        <sz val="10"/>
        <rFont val="Noto Sans CJK SC"/>
        <family val="2"/>
      </rPr>
      <t xml:space="preserve">の人が</t>
    </r>
    <r>
      <rPr>
        <sz val="10"/>
        <rFont val="Arial"/>
        <family val="0"/>
        <charset val="1"/>
      </rPr>
      <t xml:space="preserve">5</t>
    </r>
    <r>
      <rPr>
        <sz val="10"/>
        <rFont val="Noto Sans CJK SC"/>
        <family val="2"/>
      </rPr>
      <t xml:space="preserve">分以内に眠くなる——その『睡魔の罠』の正体、知ってる？ </t>
    </r>
    <r>
      <rPr>
        <sz val="10"/>
        <rFont val="Arial"/>
        <family val="0"/>
        <charset val="1"/>
      </rPr>
      <t xml:space="preserve">#shorts #</t>
    </r>
    <r>
      <rPr>
        <sz val="10"/>
        <rFont val="Noto Sans CJK SC"/>
        <family val="2"/>
      </rPr>
      <t xml:space="preserve">ゆっくり解説</t>
    </r>
  </si>
  <si>
    <t xml:space="preserve">収容違反の真実 — 人間が引き起こす異常の裏側【ショート】</t>
  </si>
  <si>
    <r>
      <rPr>
        <sz val="10"/>
        <rFont val="Arial"/>
        <family val="0"/>
        <charset val="1"/>
      </rPr>
      <t xml:space="preserve">99%</t>
    </r>
    <r>
      <rPr>
        <sz val="10"/>
        <rFont val="Noto Sans CJK SC"/>
        <family val="2"/>
      </rPr>
      <t xml:space="preserve">の人が知らない</t>
    </r>
    <r>
      <rPr>
        <sz val="10"/>
        <rFont val="Arial"/>
        <family val="0"/>
        <charset val="1"/>
      </rPr>
      <t xml:space="preserve">! </t>
    </r>
    <r>
      <rPr>
        <sz val="10"/>
        <rFont val="Noto Sans CJK SC"/>
        <family val="2"/>
      </rPr>
      <t xml:space="preserve">なぜ体がかゆくなるのか？その正体を暴く【ショート】</t>
    </r>
  </si>
  <si>
    <r>
      <rPr>
        <sz val="10"/>
        <rFont val="Noto Sans CJK SC"/>
        <family val="2"/>
      </rPr>
      <t xml:space="preserve">一口</t>
    </r>
    <r>
      <rPr>
        <sz val="10"/>
        <rFont val="Arial"/>
        <family val="0"/>
        <charset val="1"/>
      </rPr>
      <t xml:space="preserve">SCP</t>
    </r>
    <r>
      <rPr>
        <sz val="10"/>
        <rFont val="Noto Sans CJK SC"/>
        <family val="2"/>
      </rPr>
      <t xml:space="preserve">：生存率わずか</t>
    </r>
    <r>
      <rPr>
        <sz val="10"/>
        <rFont val="Arial"/>
        <family val="0"/>
        <charset val="1"/>
      </rPr>
      <t xml:space="preserve">1%</t>
    </r>
    <r>
      <rPr>
        <sz val="10"/>
        <rFont val="Noto Sans CJK SC"/>
        <family val="2"/>
      </rPr>
      <t xml:space="preserve">収容違反</t>
    </r>
    <r>
      <rPr>
        <sz val="10"/>
        <rFont val="Arial"/>
        <family val="0"/>
        <charset val="1"/>
      </rPr>
      <t xml:space="preserve">8</t>
    </r>
    <r>
      <rPr>
        <sz val="10"/>
        <rFont val="Noto Sans CJK SC"/>
        <family val="2"/>
      </rPr>
      <t xml:space="preserve">件の記録</t>
    </r>
    <r>
      <rPr>
        <sz val="10"/>
        <rFont val="Arial"/>
        <family val="0"/>
        <charset val="1"/>
      </rPr>
      <t xml:space="preserve">#</t>
    </r>
    <r>
      <rPr>
        <sz val="10"/>
        <rFont val="Noto Sans CJK SC"/>
        <family val="2"/>
      </rPr>
      <t xml:space="preserve">収容違反</t>
    </r>
    <r>
      <rPr>
        <sz val="10"/>
        <rFont val="Arial"/>
        <family val="0"/>
        <charset val="1"/>
      </rPr>
      <t xml:space="preserve">8</t>
    </r>
    <r>
      <rPr>
        <sz val="10"/>
        <rFont val="Noto Sans CJK SC"/>
        <family val="2"/>
      </rPr>
      <t xml:space="preserve">回、生存率</t>
    </r>
    <r>
      <rPr>
        <sz val="10"/>
        <rFont val="Arial"/>
        <family val="0"/>
        <charset val="1"/>
      </rPr>
      <t xml:space="preserve">1%——</t>
    </r>
    <r>
      <rPr>
        <sz val="10"/>
        <rFont val="Noto Sans CJK SC"/>
        <family val="2"/>
      </rPr>
      <t xml:space="preserve">修理工場で財団が記録した『亡霊』の正体がヤバすぎる </t>
    </r>
    <r>
      <rPr>
        <sz val="10"/>
        <rFont val="Arial"/>
        <family val="0"/>
        <charset val="1"/>
      </rPr>
      <t xml:space="preserve">#shorts #</t>
    </r>
    <r>
      <rPr>
        <sz val="10"/>
        <rFont val="Noto Sans CJK SC"/>
        <family val="2"/>
      </rPr>
      <t xml:space="preserve">ゆっくり解説</t>
    </r>
  </si>
  <si>
    <t xml:space="preserve">2026-07-26</t>
  </si>
  <si>
    <r>
      <rPr>
        <sz val="10"/>
        <rFont val="Noto Sans CJK SC"/>
        <family val="2"/>
      </rPr>
      <t xml:space="preserve">一口</t>
    </r>
    <r>
      <rPr>
        <sz val="10"/>
        <rFont val="Arial"/>
        <family val="0"/>
        <charset val="1"/>
      </rPr>
      <t xml:space="preserve">SCP</t>
    </r>
    <r>
      <rPr>
        <sz val="10"/>
        <rFont val="Noto Sans CJK SC"/>
        <family val="2"/>
      </rPr>
      <t xml:space="preserve">：視線を外したら——もう遅い財団が封印した『</t>
    </r>
    <r>
      <rPr>
        <sz val="10"/>
        <rFont val="Arial"/>
        <family val="0"/>
        <charset val="1"/>
      </rPr>
      <t xml:space="preserve">0.3</t>
    </r>
    <r>
      <rPr>
        <sz val="10"/>
        <rFont val="Noto Sans CJK SC"/>
        <family val="2"/>
      </rPr>
      <t xml:space="preserve">秒の恐怖』</t>
    </r>
    <r>
      <rPr>
        <sz val="10"/>
        <rFont val="Arial"/>
        <family val="0"/>
        <charset val="1"/>
      </rPr>
      <t xml:space="preserve">#SCP-173——</t>
    </r>
    <r>
      <rPr>
        <sz val="10"/>
        <rFont val="Noto Sans CJK SC"/>
        <family val="2"/>
      </rPr>
      <t xml:space="preserve">視線を外した</t>
    </r>
    <r>
      <rPr>
        <sz val="10"/>
        <rFont val="Arial"/>
        <family val="0"/>
        <charset val="1"/>
      </rPr>
      <t xml:space="preserve">0.3</t>
    </r>
    <r>
      <rPr>
        <sz val="10"/>
        <rFont val="Noto Sans CJK SC"/>
        <family val="2"/>
      </rPr>
      <t xml:space="preserve">秒に、</t>
    </r>
    <r>
      <rPr>
        <sz val="10"/>
        <rFont val="Arial"/>
        <family val="0"/>
        <charset val="1"/>
      </rPr>
      <t xml:space="preserve">17</t>
    </r>
    <r>
      <rPr>
        <sz val="10"/>
        <rFont val="Noto Sans CJK SC"/>
        <family val="2"/>
      </rPr>
      <t xml:space="preserve">名が消えた本当の理由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</si>
  <si>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：財団自身が『人類は異常存在』と結論した</t>
    </r>
    <r>
      <rPr>
        <sz val="10"/>
        <rFont val="Arial"/>
        <family val="0"/>
        <charset val="1"/>
      </rPr>
      <t xml:space="preserve">17</t>
    </r>
    <r>
      <rPr>
        <sz val="10"/>
        <rFont val="Noto Sans CJK SC"/>
        <family val="2"/>
      </rPr>
      <t xml:space="preserve">年間、この記録は</t>
    </r>
    <r>
      <rPr>
        <sz val="10"/>
        <rFont val="Arial"/>
        <family val="0"/>
        <charset val="1"/>
      </rPr>
      <t xml:space="preserve">[DATA EXPUNGED]</t>
    </r>
    <r>
      <rPr>
        <sz val="10"/>
        <rFont val="Noto Sans CJK SC"/>
        <family val="2"/>
      </rPr>
      <t xml:space="preserve">されていた</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年間封印した——</t>
    </r>
    <r>
      <rPr>
        <sz val="10"/>
        <rFont val="Arial"/>
        <family val="0"/>
        <charset val="1"/>
      </rPr>
      <t xml:space="preserve">SCP-5000</t>
    </r>
    <r>
      <rPr>
        <sz val="10"/>
        <rFont val="Noto Sans CJK SC"/>
        <family val="2"/>
      </rPr>
      <t xml:space="preserve">が『人類を殺す』と決定した本当の理由 </t>
    </r>
    <r>
      <rPr>
        <sz val="10"/>
        <rFont val="Arial"/>
        <family val="0"/>
        <charset val="1"/>
      </rPr>
      <t xml:space="preserve">#sho</t>
    </r>
  </si>
  <si>
    <r>
      <rPr>
        <sz val="10"/>
        <rFont val="Noto Sans CJK SC"/>
        <family val="2"/>
      </rPr>
      <t xml:space="preserve">なぜか毎回『同じ時間帯』それ、偶然じゃないんです</t>
    </r>
    <r>
      <rPr>
        <sz val="10"/>
        <rFont val="Arial"/>
        <family val="0"/>
        <charset val="1"/>
      </rPr>
      <t xml:space="preserve">#</t>
    </r>
    <r>
      <rPr>
        <sz val="10"/>
        <rFont val="Noto Sans CJK SC"/>
        <family val="2"/>
      </rPr>
      <t xml:space="preserve">なぜ金縛りは『決まった時間』にしか起きないのか？</t>
    </r>
    <r>
      <rPr>
        <sz val="10"/>
        <rFont val="Arial"/>
        <family val="0"/>
        <charset val="1"/>
      </rPr>
      <t xml:space="preserve">99%</t>
    </r>
    <r>
      <rPr>
        <sz val="10"/>
        <rFont val="Noto Sans CJK SC"/>
        <family val="2"/>
      </rPr>
      <t xml:space="preserve">が知らない睡眠の本当の仕組み </t>
    </r>
    <r>
      <rPr>
        <sz val="10"/>
        <rFont val="Arial"/>
        <family val="0"/>
        <charset val="1"/>
      </rPr>
      <t xml:space="preserve">#shorts #</t>
    </r>
    <r>
      <rPr>
        <sz val="10"/>
        <rFont val="Noto Sans CJK SC"/>
        <family val="2"/>
      </rPr>
      <t xml:space="preserve">ゆっくり解説</t>
    </r>
  </si>
  <si>
    <r>
      <rPr>
        <sz val="10"/>
        <rFont val="Arial"/>
        <family val="0"/>
        <charset val="1"/>
      </rPr>
      <t xml:space="preserve">99%</t>
    </r>
    <r>
      <rPr>
        <sz val="10"/>
        <rFont val="Noto Sans CJK SC"/>
        <family val="2"/>
      </rPr>
      <t xml:space="preserve">が知らない「夢の記憶」の正体なぜあの夢だけ覚えてるの？</t>
    </r>
    <r>
      <rPr>
        <sz val="10"/>
        <rFont val="Arial"/>
        <family val="0"/>
        <charset val="1"/>
      </rPr>
      <t xml:space="preserve">#</t>
    </r>
    <r>
      <rPr>
        <sz val="10"/>
        <rFont val="Noto Sans CJK SC"/>
        <family val="2"/>
      </rPr>
      <t xml:space="preserve">昨夜の夢だけ覚えてる——</t>
    </r>
    <r>
      <rPr>
        <sz val="10"/>
        <rFont val="Arial"/>
        <family val="0"/>
        <charset val="1"/>
      </rPr>
      <t xml:space="preserve">99%</t>
    </r>
    <r>
      <rPr>
        <sz val="10"/>
        <rFont val="Noto Sans CJK SC"/>
        <family val="2"/>
      </rPr>
      <t xml:space="preserve">が知らない、脳が『あの夢』を選んで記録する本当の理由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</si>
  <si>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免疫反応が体をダルくする！風邪の真相は意外な〇〇だった？</t>
    </r>
    <r>
      <rPr>
        <sz val="10"/>
        <rFont val="Arial"/>
        <family val="0"/>
        <charset val="1"/>
      </rPr>
      <t xml:space="preserve">#</t>
    </r>
    <r>
      <rPr>
        <sz val="10"/>
        <rFont val="Noto Sans CJK SC"/>
        <family val="2"/>
      </rPr>
      <t xml:space="preserve">風邪を引くと体がだるすぎる</t>
    </r>
    <r>
      <rPr>
        <sz val="10"/>
        <rFont val="Arial"/>
        <family val="0"/>
        <charset val="1"/>
      </rPr>
      <t xml:space="preserve">!? </t>
    </r>
    <r>
      <rPr>
        <sz val="10"/>
        <rFont val="Noto Sans CJK SC"/>
        <family val="2"/>
      </rPr>
      <t xml:space="preserve">その意外な原因を徹底解明 </t>
    </r>
    <r>
      <rPr>
        <sz val="10"/>
        <rFont val="Arial"/>
        <family val="0"/>
        <charset val="1"/>
      </rPr>
      <t xml:space="preserve">#shorts #</t>
    </r>
    <r>
      <rPr>
        <sz val="10"/>
        <rFont val="Noto Sans CJK SC"/>
        <family val="2"/>
      </rPr>
      <t xml:space="preserve">ゆっくり解説</t>
    </r>
  </si>
  <si>
    <r>
      <rPr>
        <sz val="10"/>
        <rFont val="Noto Sans CJK SC"/>
        <family val="2"/>
      </rPr>
      <t xml:space="preserve">なぜ涙は悲しくないのに出る？</t>
    </r>
    <r>
      <rPr>
        <sz val="10"/>
        <rFont val="Arial"/>
        <family val="0"/>
        <charset val="1"/>
      </rPr>
      <t xml:space="preserve">3</t>
    </r>
    <r>
      <rPr>
        <sz val="10"/>
        <rFont val="Noto Sans CJK SC"/>
        <family val="2"/>
      </rPr>
      <t xml:space="preserve">種類の正体【ショート】</t>
    </r>
  </si>
  <si>
    <r>
      <rPr>
        <sz val="10"/>
        <rFont val="Arial"/>
        <family val="0"/>
        <charset val="1"/>
      </rPr>
      <t xml:space="preserve">SCP-701</t>
    </r>
    <r>
      <rPr>
        <sz val="10"/>
        <rFont val="Noto Sans CJK SC"/>
        <family val="2"/>
      </rPr>
      <t xml:space="preserve">「吊られた王の悲劇」— 上演記録</t>
    </r>
    <r>
      <rPr>
        <sz val="10"/>
        <rFont val="Arial"/>
        <family val="0"/>
        <charset val="1"/>
      </rPr>
      <t xml:space="preserve">14</t>
    </r>
    <r>
      <rPr>
        <sz val="10"/>
        <rFont val="Noto Sans CJK SC"/>
        <family val="2"/>
      </rPr>
      <t xml:space="preserve">件、観客の生存率は</t>
    </r>
    <r>
      <rPr>
        <sz val="10"/>
        <rFont val="Arial"/>
        <family val="0"/>
        <charset val="1"/>
      </rPr>
      <t xml:space="preserve">21%</t>
    </r>
    <r>
      <rPr>
        <sz val="10"/>
        <rFont val="Noto Sans CJK SC"/>
        <family val="2"/>
      </rPr>
      <t xml:space="preserve">【ショート】</t>
    </r>
  </si>
  <si>
    <r>
      <rPr>
        <sz val="10"/>
        <rFont val="Noto Sans CJK SC"/>
        <family val="2"/>
      </rPr>
      <t xml:space="preserve">なぜ財団は</t>
    </r>
    <r>
      <rPr>
        <sz val="10"/>
        <rFont val="Arial"/>
        <family val="0"/>
        <charset val="1"/>
      </rPr>
      <t xml:space="preserve">48</t>
    </r>
    <r>
      <rPr>
        <sz val="10"/>
        <rFont val="Noto Sans CJK SC"/>
        <family val="2"/>
      </rPr>
      <t xml:space="preserve">時間で限界を迎えるのか——</t>
    </r>
    <r>
      <rPr>
        <sz val="10"/>
        <rFont val="Arial"/>
        <family val="0"/>
        <charset val="1"/>
      </rPr>
      <t xml:space="preserve">SCP-2317</t>
    </r>
    <r>
      <rPr>
        <sz val="10"/>
        <rFont val="Noto Sans CJK SC"/>
        <family val="2"/>
      </rPr>
      <t xml:space="preserve">『地獄の門』、封印違反</t>
    </r>
    <r>
      <rPr>
        <sz val="10"/>
        <rFont val="Arial"/>
        <family val="0"/>
        <charset val="1"/>
      </rPr>
      <t xml:space="preserve">5</t>
    </r>
    <r>
      <rPr>
        <sz val="10"/>
        <rFont val="Noto Sans CJK SC"/>
        <family val="2"/>
      </rPr>
      <t xml:space="preserve">件の真実【ショート】</t>
    </r>
  </si>
  <si>
    <r>
      <rPr>
        <sz val="10"/>
        <rFont val="Noto Sans CJK SC"/>
        <family val="2"/>
      </rPr>
      <t xml:space="preserve">一口</t>
    </r>
    <r>
      <rPr>
        <sz val="10"/>
        <rFont val="Arial"/>
        <family val="0"/>
        <charset val="1"/>
      </rPr>
      <t xml:space="preserve">SCP</t>
    </r>
    <r>
      <rPr>
        <sz val="10"/>
        <rFont val="Noto Sans CJK SC"/>
        <family val="2"/>
      </rPr>
      <t xml:space="preserve">：読んだだけで感染する——認識災害の正体財団が</t>
    </r>
    <r>
      <rPr>
        <sz val="10"/>
        <rFont val="Arial"/>
        <family val="0"/>
        <charset val="1"/>
      </rPr>
      <t xml:space="preserve">23</t>
    </r>
    <r>
      <rPr>
        <sz val="10"/>
        <rFont val="Noto Sans CJK SC"/>
        <family val="2"/>
      </rPr>
      <t xml:space="preserve">年間封印し続けた「知識の呪い」</t>
    </r>
    <r>
      <rPr>
        <sz val="10"/>
        <rFont val="Arial"/>
        <family val="0"/>
        <charset val="1"/>
      </rPr>
      <t xml:space="preserve">#</t>
    </r>
    <r>
      <rPr>
        <sz val="10"/>
        <rFont val="Noto Sans CJK SC"/>
        <family val="2"/>
      </rPr>
      <t xml:space="preserve">知った瞬間が終わりの始まり——</t>
    </r>
    <r>
      <rPr>
        <sz val="10"/>
        <rFont val="Arial"/>
        <family val="0"/>
        <charset val="1"/>
      </rPr>
      <t xml:space="preserve">SCP-1425</t>
    </r>
    <r>
      <rPr>
        <sz val="10"/>
        <rFont val="Noto Sans CJK SC"/>
        <family val="2"/>
      </rPr>
      <t xml:space="preserve">「星の兆候」が</t>
    </r>
    <r>
      <rPr>
        <sz val="10"/>
        <rFont val="Arial"/>
        <family val="0"/>
        <charset val="1"/>
      </rPr>
      <t xml:space="preserve">17</t>
    </r>
    <r>
      <rPr>
        <sz val="10"/>
        <rFont val="Noto Sans CJK SC"/>
        <family val="2"/>
      </rPr>
      <t xml:space="preserve">名の研究員を廃人にした本当の理由 </t>
    </r>
    <r>
      <rPr>
        <sz val="10"/>
        <rFont val="Arial"/>
        <family val="0"/>
        <charset val="1"/>
      </rPr>
      <t xml:space="preserve">#shor</t>
    </r>
  </si>
  <si>
    <r>
      <rPr>
        <sz val="10"/>
        <rFont val="Noto Sans CJK SC"/>
        <family val="2"/>
      </rPr>
      <t xml:space="preserve">なぜ寝起きは鼻だけ詰まるの？</t>
    </r>
    <r>
      <rPr>
        <sz val="10"/>
        <rFont val="Arial"/>
        <family val="0"/>
        <charset val="1"/>
      </rPr>
      <t xml:space="preserve">4</t>
    </r>
    <r>
      <rPr>
        <sz val="10"/>
        <rFont val="Noto Sans CJK SC"/>
        <family val="2"/>
      </rPr>
      <t xml:space="preserve">時間サイクルの秘密、知ってた？</t>
    </r>
    <r>
      <rPr>
        <sz val="10"/>
        <rFont val="Arial"/>
        <family val="0"/>
        <charset val="1"/>
      </rPr>
      <t xml:space="preserve">#</t>
    </r>
    <r>
      <rPr>
        <sz val="10"/>
        <rFont val="Noto Sans CJK SC"/>
        <family val="2"/>
      </rPr>
      <t xml:space="preserve">今朝の鼻づまり、実は</t>
    </r>
    <r>
      <rPr>
        <sz val="10"/>
        <rFont val="Arial"/>
        <family val="0"/>
        <charset val="1"/>
      </rPr>
      <t xml:space="preserve">4</t>
    </r>
    <r>
      <rPr>
        <sz val="10"/>
        <rFont val="Noto Sans CJK SC"/>
        <family val="2"/>
      </rPr>
      <t xml:space="preserve">時間ごとに左右が入れ替わってた——</t>
    </r>
    <r>
      <rPr>
        <sz val="10"/>
        <rFont val="Arial"/>
        <family val="0"/>
        <charset val="1"/>
      </rPr>
      <t xml:space="preserve">99%</t>
    </r>
    <r>
      <rPr>
        <sz val="10"/>
        <rFont val="Noto Sans CJK SC"/>
        <family val="2"/>
      </rPr>
      <t xml:space="preserve">が知らない睡眠中の鼻の正体 </t>
    </r>
    <r>
      <rPr>
        <sz val="10"/>
        <rFont val="Arial"/>
        <family val="0"/>
        <charset val="1"/>
      </rPr>
      <t xml:space="preserve">#shorts #</t>
    </r>
    <r>
      <rPr>
        <sz val="10"/>
        <rFont val="Noto Sans CJK SC"/>
        <family val="2"/>
      </rPr>
      <t xml:space="preserve">ゆっくり解説</t>
    </r>
  </si>
  <si>
    <r>
      <rPr>
        <sz val="10"/>
        <rFont val="Arial"/>
        <family val="0"/>
        <charset val="1"/>
      </rPr>
      <t xml:space="preserve">SCP-055</t>
    </r>
    <r>
      <rPr>
        <sz val="10"/>
        <rFont val="Noto Sans CJK SC"/>
        <family val="2"/>
      </rPr>
      <t xml:space="preserve">の報告書に残った奇妙な空欄とは？【ショート】</t>
    </r>
  </si>
  <si>
    <r>
      <rPr>
        <sz val="10"/>
        <rFont val="Noto Sans CJK SC"/>
        <family val="2"/>
      </rPr>
      <t xml:space="preserve">一口</t>
    </r>
    <r>
      <rPr>
        <sz val="10"/>
        <rFont val="Arial"/>
        <family val="0"/>
        <charset val="1"/>
      </rPr>
      <t xml:space="preserve">SCP</t>
    </r>
    <r>
      <rPr>
        <sz val="10"/>
        <rFont val="Noto Sans CJK SC"/>
        <family val="2"/>
      </rPr>
      <t xml:space="preserve">：瞬きの間に、</t>
    </r>
    <r>
      <rPr>
        <sz val="10"/>
        <rFont val="Arial"/>
        <family val="0"/>
        <charset val="1"/>
      </rPr>
      <t xml:space="preserve">17</t>
    </r>
    <r>
      <rPr>
        <sz val="10"/>
        <rFont val="Noto Sans CJK SC"/>
        <family val="2"/>
      </rPr>
      <t xml:space="preserve">人が死んだ</t>
    </r>
    <r>
      <rPr>
        <sz val="10"/>
        <rFont val="Arial"/>
        <family val="0"/>
        <charset val="1"/>
      </rPr>
      <t xml:space="preserve">LEVEL 4 </t>
    </r>
    <r>
      <rPr>
        <sz val="10"/>
        <rFont val="Noto Sans CJK SC"/>
        <family val="2"/>
      </rPr>
      <t xml:space="preserve">機密｜財団内部資料【閲覧注意】</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秒で首を折られる——</t>
    </r>
    <r>
      <rPr>
        <sz val="10"/>
        <rFont val="Arial"/>
        <family val="0"/>
        <charset val="1"/>
      </rPr>
      <t xml:space="preserve">SCP-173</t>
    </r>
    <r>
      <rPr>
        <sz val="10"/>
        <rFont val="Noto Sans CJK SC"/>
        <family val="2"/>
      </rPr>
      <t xml:space="preserve">が財団の隠し続けた『本当の恐怖』 </t>
    </r>
    <r>
      <rPr>
        <sz val="10"/>
        <rFont val="Arial"/>
        <family val="0"/>
        <charset val="1"/>
      </rPr>
      <t xml:space="preserve">#shorts #</t>
    </r>
    <r>
      <rPr>
        <sz val="10"/>
        <rFont val="Noto Sans CJK SC"/>
        <family val="2"/>
      </rPr>
      <t xml:space="preserve">ゆっくり解説</t>
    </r>
  </si>
  <si>
    <r>
      <rPr>
        <sz val="10"/>
        <rFont val="Noto Sans CJK SC"/>
        <family val="2"/>
      </rPr>
      <t xml:space="preserve">昼寝したのになぜ余計しんどい？脳の</t>
    </r>
    <r>
      <rPr>
        <sz val="10"/>
        <rFont val="Arial"/>
        <family val="0"/>
        <charset val="1"/>
      </rPr>
      <t xml:space="preserve">90</t>
    </r>
    <r>
      <rPr>
        <sz val="10"/>
        <rFont val="Noto Sans CJK SC"/>
        <family val="2"/>
      </rPr>
      <t xml:space="preserve">分サイクルが引き起こす『睡眠慣性』の罠</t>
    </r>
    <r>
      <rPr>
        <sz val="10"/>
        <rFont val="Arial"/>
        <family val="0"/>
        <charset val="1"/>
      </rPr>
      <t xml:space="preserve">#</t>
    </r>
    <r>
      <rPr>
        <sz val="10"/>
        <rFont val="Noto Sans CJK SC"/>
        <family val="2"/>
      </rPr>
      <t xml:space="preserve">昼寝後にだるいのは睡眠のせいじゃない——脳が</t>
    </r>
    <r>
      <rPr>
        <sz val="10"/>
        <rFont val="Arial"/>
        <family val="0"/>
        <charset val="1"/>
      </rPr>
      <t xml:space="preserve">90</t>
    </r>
    <r>
      <rPr>
        <sz val="10"/>
        <rFont val="Noto Sans CJK SC"/>
        <family val="2"/>
      </rPr>
      <t xml:space="preserve">分ごとに起こしている『ある現象』の正体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</si>
  <si>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財団が</t>
    </r>
    <r>
      <rPr>
        <sz val="10"/>
        <rFont val="Arial"/>
        <family val="0"/>
        <charset val="1"/>
      </rPr>
      <t xml:space="preserve">11</t>
    </r>
    <r>
      <rPr>
        <sz val="10"/>
        <rFont val="Noto Sans CJK SC"/>
        <family val="2"/>
      </rPr>
      <t xml:space="preserve">回記録した『あの</t>
    </r>
    <r>
      <rPr>
        <sz val="10"/>
        <rFont val="Arial"/>
        <family val="0"/>
        <charset val="1"/>
      </rPr>
      <t xml:space="preserve">VHS</t>
    </r>
    <r>
      <rPr>
        <sz val="10"/>
        <rFont val="Noto Sans CJK SC"/>
        <family val="2"/>
      </rPr>
      <t xml:space="preserve">テープ』——再生するたびに内容が変わる映像と、見た職員の記憶が消えていく本当の理由【ショート】</t>
    </r>
  </si>
  <si>
    <t xml:space="preserve">なぜ目の奥が痛くなる？実はそこに『隠された理由』があるんです【ショート】</t>
  </si>
  <si>
    <r>
      <rPr>
        <sz val="10"/>
        <rFont val="Noto Sans CJK SC"/>
        <family val="2"/>
      </rPr>
      <t xml:space="preserve">なぜ立ち上がると目の前が暗い？</t>
    </r>
    <r>
      <rPr>
        <sz val="10"/>
        <rFont val="Arial"/>
        <family val="0"/>
        <charset val="1"/>
      </rPr>
      <t xml:space="preserve">99%</t>
    </r>
    <r>
      <rPr>
        <sz val="10"/>
        <rFont val="Noto Sans CJK SC"/>
        <family val="2"/>
      </rPr>
      <t xml:space="preserve">が知らない『</t>
    </r>
    <r>
      <rPr>
        <sz val="10"/>
        <rFont val="Arial"/>
        <family val="0"/>
        <charset val="1"/>
      </rPr>
      <t xml:space="preserve">3</t>
    </r>
    <r>
      <rPr>
        <sz val="10"/>
        <rFont val="Noto Sans CJK SC"/>
        <family val="2"/>
      </rPr>
      <t xml:space="preserve">秒間』の正体【ショート】【ショート】</t>
    </r>
  </si>
  <si>
    <r>
      <rPr>
        <sz val="10"/>
        <rFont val="Noto Sans CJK SC"/>
        <family val="2"/>
      </rPr>
      <t xml:space="preserve">なぜ「あの音」で体が緩む？脳が隠していた本当の理由</t>
    </r>
    <r>
      <rPr>
        <sz val="10"/>
        <rFont val="Arial"/>
        <family val="0"/>
        <charset val="1"/>
      </rPr>
      <t xml:space="preserve">#</t>
    </r>
    <r>
      <rPr>
        <sz val="10"/>
        <rFont val="Noto Sans CJK SC"/>
        <family val="2"/>
      </rPr>
      <t xml:space="preserve">なぜ「あの音」を聴くだけで体が勝手に緩むのか？脳が隠していた本当のメカニズム </t>
    </r>
    <r>
      <rPr>
        <sz val="10"/>
        <rFont val="Arial"/>
        <family val="0"/>
        <charset val="1"/>
      </rPr>
      <t xml:space="preserve">#shorts #</t>
    </r>
    <r>
      <rPr>
        <sz val="10"/>
        <rFont val="Noto Sans CJK SC"/>
        <family val="2"/>
      </rPr>
      <t xml:space="preserve">ゆっくり解説</t>
    </r>
  </si>
  <si>
    <t xml:space="preserve">なぜ昼寝中の夢は現実と激しく違う？科学が解明する『夢の仕組み』【ショート】</t>
  </si>
  <si>
    <r>
      <rPr>
        <sz val="10"/>
        <rFont val="Arial"/>
        <family val="0"/>
        <charset val="1"/>
      </rPr>
      <t xml:space="preserve">SCP-2525</t>
    </r>
    <r>
      <rPr>
        <sz val="10"/>
        <rFont val="Noto Sans CJK SC"/>
        <family val="2"/>
      </rPr>
      <t xml:space="preserve">「異常なゲーム」— 死亡記録</t>
    </r>
    <r>
      <rPr>
        <sz val="10"/>
        <rFont val="Arial"/>
        <family val="0"/>
        <charset val="1"/>
      </rPr>
      <t xml:space="preserve">23</t>
    </r>
    <r>
      <rPr>
        <sz val="10"/>
        <rFont val="Noto Sans CJK SC"/>
        <family val="2"/>
      </rPr>
      <t xml:space="preserve">件、勝利条件は未達成【ショート】</t>
    </r>
  </si>
  <si>
    <r>
      <rPr>
        <sz val="10"/>
        <rFont val="Noto Sans CJK SC"/>
        <family val="2"/>
      </rPr>
      <t xml:space="preserve">一口</t>
    </r>
    <r>
      <rPr>
        <sz val="10"/>
        <rFont val="Arial"/>
        <family val="0"/>
        <charset val="1"/>
      </rPr>
      <t xml:space="preserve">SCP</t>
    </r>
    <r>
      <rPr>
        <sz val="10"/>
        <rFont val="Noto Sans CJK SC"/>
        <family val="2"/>
      </rPr>
      <t xml:space="preserve">：財団が</t>
    </r>
    <r>
      <rPr>
        <sz val="10"/>
        <rFont val="Arial"/>
        <family val="0"/>
        <charset val="1"/>
      </rPr>
      <t xml:space="preserve">23</t>
    </r>
    <r>
      <rPr>
        <sz val="10"/>
        <rFont val="Noto Sans CJK SC"/>
        <family val="2"/>
      </rPr>
      <t xml:space="preserve">年間隠し続けた見るだけで感染する謎感染者数</t>
    </r>
    <r>
      <rPr>
        <sz val="10"/>
        <rFont val="Arial"/>
        <family val="0"/>
        <charset val="1"/>
      </rPr>
      <t xml:space="preserve">317</t>
    </r>
    <r>
      <rPr>
        <sz val="10"/>
        <rFont val="Noto Sans CJK SC"/>
        <family val="2"/>
      </rPr>
      <t xml:space="preserve">名、生存率わずか</t>
    </r>
    <r>
      <rPr>
        <sz val="10"/>
        <rFont val="Arial"/>
        <family val="0"/>
        <charset val="1"/>
      </rPr>
      <t xml:space="preserve">3%#</t>
    </r>
    <r>
      <rPr>
        <sz val="10"/>
        <rFont val="Noto Sans CJK SC"/>
        <family val="2"/>
      </rPr>
      <t xml:space="preserve">財団が</t>
    </r>
    <r>
      <rPr>
        <sz val="10"/>
        <rFont val="Arial"/>
        <family val="0"/>
        <charset val="1"/>
      </rPr>
      <t xml:space="preserve">23</t>
    </r>
    <r>
      <rPr>
        <sz val="10"/>
        <rFont val="Noto Sans CJK SC"/>
        <family val="2"/>
      </rPr>
      <t xml:space="preserve">年間隠した感染 </t>
    </r>
    <r>
      <rPr>
        <sz val="10"/>
        <rFont val="Arial"/>
        <family val="0"/>
        <charset val="1"/>
      </rPr>
      <t xml:space="preserve">SCP-XXXX</t>
    </r>
    <r>
      <rPr>
        <sz val="10"/>
        <rFont val="Noto Sans CJK SC"/>
        <family val="2"/>
      </rPr>
      <t xml:space="preserve">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</si>
  <si>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くしゃみの瞬間、目の前が光る——</t>
    </r>
    <r>
      <rPr>
        <sz val="10"/>
        <rFont val="Arial"/>
        <family val="0"/>
        <charset val="1"/>
      </rPr>
      <t xml:space="preserve">99%</t>
    </r>
    <r>
      <rPr>
        <sz val="10"/>
        <rFont val="Noto Sans CJK SC"/>
        <family val="2"/>
      </rPr>
      <t xml:space="preserve">が知らないその</t>
    </r>
    <r>
      <rPr>
        <sz val="10"/>
        <rFont val="Arial"/>
        <family val="0"/>
        <charset val="1"/>
      </rPr>
      <t xml:space="preserve">0.5</t>
    </r>
    <r>
      <rPr>
        <sz val="10"/>
        <rFont val="Noto Sans CJK SC"/>
        <family val="2"/>
      </rPr>
      <t xml:space="preserve">秒に体で何が起きているのか？【ショート】</t>
    </r>
  </si>
  <si>
    <r>
      <rPr>
        <sz val="10"/>
        <rFont val="Noto Sans CJK SC"/>
        <family val="2"/>
      </rPr>
      <t xml:space="preserve">今夜あなたが寝返りした瞬間、なぜ</t>
    </r>
    <r>
      <rPr>
        <sz val="10"/>
        <rFont val="Arial"/>
        <family val="0"/>
        <charset val="1"/>
      </rPr>
      <t xml:space="preserve">0.8</t>
    </r>
    <r>
      <rPr>
        <sz val="10"/>
        <rFont val="Noto Sans CJK SC"/>
        <family val="2"/>
      </rPr>
      <t xml:space="preserve">秒だけ目が覚める？実は眠りが消える前の脳内チェック【ショート】</t>
    </r>
  </si>
  <si>
    <r>
      <rPr>
        <sz val="10"/>
        <rFont val="Noto Sans CJK SC"/>
        <family val="2"/>
      </rPr>
      <t xml:space="preserve">財団が</t>
    </r>
    <r>
      <rPr>
        <sz val="10"/>
        <rFont val="Arial"/>
        <family val="0"/>
        <charset val="1"/>
      </rPr>
      <t xml:space="preserve">17</t>
    </r>
    <r>
      <rPr>
        <sz val="10"/>
        <rFont val="Noto Sans CJK SC"/>
        <family val="2"/>
      </rPr>
      <t xml:space="preserve">年間封印した「選択の悪夢」——</t>
    </r>
    <r>
      <rPr>
        <sz val="10"/>
        <rFont val="Arial"/>
        <family val="0"/>
        <charset val="1"/>
      </rPr>
      <t xml:space="preserve">SCP-096</t>
    </r>
    <r>
      <rPr>
        <sz val="10"/>
        <rFont val="Noto Sans CJK SC"/>
        <family val="2"/>
      </rPr>
      <t xml:space="preserve">に触れた職員が最後に見たものの正体【ショート】</t>
    </r>
  </si>
  <si>
    <r>
      <rPr>
        <sz val="10"/>
        <rFont val="Noto Sans CJK SC"/>
        <family val="2"/>
      </rPr>
      <t xml:space="preserve">財団が</t>
    </r>
    <r>
      <rPr>
        <sz val="10"/>
        <rFont val="Arial"/>
        <family val="0"/>
        <charset val="1"/>
      </rPr>
      <t xml:space="preserve">31</t>
    </r>
    <r>
      <rPr>
        <sz val="10"/>
        <rFont val="Noto Sans CJK SC"/>
        <family val="2"/>
      </rPr>
      <t xml:space="preserve">回の接触実験で隠し続けた</t>
    </r>
    <r>
      <rPr>
        <sz val="10"/>
        <rFont val="Arial"/>
        <family val="0"/>
        <charset val="1"/>
      </rPr>
      <t xml:space="preserve">SCP-198</t>
    </r>
    <r>
      <rPr>
        <sz val="10"/>
        <rFont val="Noto Sans CJK SC"/>
        <family val="2"/>
      </rPr>
      <t xml:space="preserve">の正体——回収不能になった</t>
    </r>
    <r>
      <rPr>
        <sz val="10"/>
        <rFont val="Arial"/>
        <family val="0"/>
        <charset val="1"/>
      </rPr>
      <t xml:space="preserve">12</t>
    </r>
    <r>
      <rPr>
        <sz val="10"/>
        <rFont val="Noto Sans CJK SC"/>
        <family val="2"/>
      </rPr>
      <t xml:space="preserve">名は今どこにいるのか【ショート】</t>
    </r>
  </si>
  <si>
    <r>
      <rPr>
        <sz val="10"/>
        <rFont val="Noto Sans CJK SC"/>
        <family val="2"/>
      </rPr>
      <t xml:space="preserve">財団が</t>
    </r>
    <r>
      <rPr>
        <sz val="10"/>
        <rFont val="Arial"/>
        <family val="0"/>
        <charset val="1"/>
      </rPr>
      <t xml:space="preserve">17</t>
    </r>
    <r>
      <rPr>
        <sz val="10"/>
        <rFont val="Noto Sans CJK SC"/>
        <family val="2"/>
      </rPr>
      <t xml:space="preserve">年間封印した『</t>
    </r>
    <r>
      <rPr>
        <sz val="10"/>
        <rFont val="Arial"/>
        <family val="0"/>
        <charset val="1"/>
      </rPr>
      <t xml:space="preserve">2</t>
    </r>
    <r>
      <rPr>
        <sz val="10"/>
        <rFont val="Noto Sans CJK SC"/>
        <family val="2"/>
      </rPr>
      <t xml:space="preserve">つの計画』——人類を殺したのは、守るためだったのか【ショート】</t>
    </r>
  </si>
  <si>
    <r>
      <rPr>
        <sz val="10"/>
        <rFont val="Noto Sans CJK SC"/>
        <family val="2"/>
      </rPr>
      <t xml:space="preserve">夢の中で急に気づく『これ夢だ』の正体</t>
    </r>
    <r>
      <rPr>
        <sz val="10"/>
        <rFont val="Arial"/>
        <family val="0"/>
        <charset val="1"/>
      </rPr>
      <t xml:space="preserve">#</t>
    </r>
    <r>
      <rPr>
        <sz val="10"/>
        <rFont val="Noto Sans CJK SC"/>
        <family val="2"/>
      </rPr>
      <t xml:space="preserve">夢の中で『あ、これ夢だ』って気づく瞬間、脳の中で何が起きてるか知ってる？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</si>
  <si>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：この報告書…読んだら後悔するかもしれない人類そのものが異常存在であるという結論に</t>
    </r>
    <r>
      <rPr>
        <sz val="10"/>
        <rFont val="Arial"/>
        <family val="0"/>
        <charset val="1"/>
      </rPr>
      <t xml:space="preserve">#</t>
    </r>
    <r>
      <rPr>
        <sz val="10"/>
        <rFont val="Noto Sans CJK SC"/>
        <family val="2"/>
      </rPr>
      <t xml:space="preserve">財団が人類を殲滅し続けた真の理由——</t>
    </r>
    <r>
      <rPr>
        <sz val="10"/>
        <rFont val="Arial"/>
        <family val="0"/>
        <charset val="1"/>
      </rPr>
      <t xml:space="preserve">SCP-5000</t>
    </r>
    <r>
      <rPr>
        <sz val="10"/>
        <rFont val="Noto Sans CJK SC"/>
        <family val="2"/>
      </rPr>
      <t xml:space="preserve">内部資料の驚愕の結論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</si>
  <si>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LEVEL 4 </t>
    </r>
    <r>
      <rPr>
        <sz val="10"/>
        <rFont val="Noto Sans CJK SC"/>
        <family val="2"/>
      </rPr>
      <t xml:space="preserve">機密 </t>
    </r>
    <r>
      <rPr>
        <sz val="10"/>
        <rFont val="Arial"/>
        <family val="0"/>
        <charset val="1"/>
      </rPr>
      <t xml:space="preserve">/ </t>
    </r>
    <r>
      <rPr>
        <sz val="10"/>
        <rFont val="Noto Sans CJK SC"/>
        <family val="2"/>
      </rPr>
      <t xml:space="preserve">財団内部資料感染確認から</t>
    </r>
    <r>
      <rPr>
        <sz val="10"/>
        <rFont val="Arial"/>
        <family val="0"/>
        <charset val="1"/>
      </rPr>
      <t xml:space="preserve">96</t>
    </r>
    <r>
      <rPr>
        <sz val="10"/>
        <rFont val="Noto Sans CJK SC"/>
        <family val="2"/>
      </rPr>
      <t xml:space="preserve">時間で『人間』でなくなる</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秒で内側から書き換わる——</t>
    </r>
    <r>
      <rPr>
        <sz val="10"/>
        <rFont val="Arial"/>
        <family val="0"/>
        <charset val="1"/>
      </rPr>
      <t xml:space="preserve">SCP-217</t>
    </r>
    <r>
      <rPr>
        <sz val="10"/>
        <rFont val="Noto Sans CJK SC"/>
        <family val="2"/>
      </rPr>
      <t xml:space="preserve">「時計仕掛けのウイルス」が人間を機械に変える本当の理</t>
    </r>
  </si>
  <si>
    <r>
      <rPr>
        <sz val="10"/>
        <rFont val="Noto Sans CJK SC"/>
        <family val="2"/>
      </rPr>
      <t xml:space="preserve">目を離した</t>
    </r>
    <r>
      <rPr>
        <sz val="10"/>
        <rFont val="Arial"/>
        <family val="0"/>
        <charset val="1"/>
      </rPr>
      <t xml:space="preserve">3</t>
    </r>
    <r>
      <rPr>
        <sz val="10"/>
        <rFont val="Noto Sans CJK SC"/>
        <family val="2"/>
      </rPr>
      <t xml:space="preserve">秒で消えた——</t>
    </r>
    <r>
      <rPr>
        <sz val="10"/>
        <rFont val="Arial"/>
        <family val="0"/>
        <charset val="1"/>
      </rPr>
      <t xml:space="preserve">SCP-096</t>
    </r>
    <r>
      <rPr>
        <sz val="10"/>
        <rFont val="Noto Sans CJK SC"/>
        <family val="2"/>
      </rPr>
      <t xml:space="preserve">「シャイガイ」が改造された本当の理由を財団は語らない【ショート】</t>
    </r>
  </si>
  <si>
    <t xml:space="preserve">名前だけ出てこないのはなぜ？頭にあるのに言えない「あの人」の正体【ショート】</t>
  </si>
  <si>
    <r>
      <rPr>
        <sz val="10"/>
        <rFont val="Noto Sans CJK SC"/>
        <family val="2"/>
      </rPr>
      <t xml:space="preserve">音が消えるのは鼓膜のせいじゃない耳の中で水が起こす『物理的封鎖』の正体</t>
    </r>
    <r>
      <rPr>
        <sz val="10"/>
        <rFont val="Arial"/>
        <family val="0"/>
        <charset val="1"/>
      </rPr>
      <t xml:space="preserve">#</t>
    </r>
    <r>
      <rPr>
        <sz val="10"/>
        <rFont val="Noto Sans CJK SC"/>
        <family val="2"/>
      </rPr>
      <t xml:space="preserve">耳に水が入ると音が消える？実は鼓膜より手前で起きている『あの現象』の正体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</si>
  <si>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：閲覧実験</t>
    </r>
    <r>
      <rPr>
        <sz val="10"/>
        <rFont val="Arial"/>
        <family val="0"/>
        <charset val="1"/>
      </rPr>
      <t xml:space="preserve">6</t>
    </r>
    <r>
      <rPr>
        <sz val="10"/>
        <rFont val="Noto Sans CJK SC"/>
        <family val="2"/>
      </rPr>
      <t xml:space="preserve">件 </t>
    </r>
    <r>
      <rPr>
        <sz val="10"/>
        <rFont val="Arial"/>
        <family val="0"/>
        <charset val="1"/>
      </rPr>
      <t xml:space="preserve">/ </t>
    </r>
    <r>
      <rPr>
        <sz val="10"/>
        <rFont val="Noto Sans CJK SC"/>
        <family val="2"/>
      </rPr>
      <t xml:space="preserve">帰還者</t>
    </r>
    <r>
      <rPr>
        <sz val="10"/>
        <rFont val="Arial"/>
        <family val="0"/>
        <charset val="1"/>
      </rPr>
      <t xml:space="preserve">0</t>
    </r>
    <r>
      <rPr>
        <sz val="10"/>
        <rFont val="Noto Sans CJK SC"/>
        <family val="2"/>
      </rPr>
      <t xml:space="preserve">名【これが最後の通信記録だ】</t>
    </r>
    <r>
      <rPr>
        <sz val="10"/>
        <rFont val="Arial"/>
        <family val="0"/>
        <charset val="1"/>
      </rPr>
      <t xml:space="preserve">#</t>
    </r>
    <r>
      <rPr>
        <sz val="10"/>
        <rFont val="Noto Sans CJK SC"/>
        <family val="2"/>
      </rPr>
      <t xml:space="preserve">財団が</t>
    </r>
    <r>
      <rPr>
        <sz val="10"/>
        <rFont val="Arial"/>
        <family val="0"/>
        <charset val="1"/>
      </rPr>
      <t xml:space="preserve">6</t>
    </r>
    <r>
      <rPr>
        <sz val="10"/>
        <rFont val="Noto Sans CJK SC"/>
        <family val="2"/>
      </rPr>
      <t xml:space="preserve">年間封印した</t>
    </r>
    <r>
      <rPr>
        <sz val="10"/>
        <rFont val="Arial"/>
        <family val="0"/>
        <charset val="1"/>
      </rPr>
      <t xml:space="preserve">SCP-3007</t>
    </r>
    <r>
      <rPr>
        <sz val="10"/>
        <rFont val="Noto Sans CJK SC"/>
        <family val="2"/>
      </rPr>
      <t xml:space="preserve">「世界の終わりを描く絵」— 閲覧実験</t>
    </r>
    <r>
      <rPr>
        <sz val="10"/>
        <rFont val="Arial"/>
        <family val="0"/>
        <charset val="1"/>
      </rPr>
      <t xml:space="preserve">6</t>
    </r>
    <r>
      <rPr>
        <sz val="10"/>
        <rFont val="Noto Sans CJK SC"/>
        <family val="2"/>
      </rPr>
      <t xml:space="preserve">件、帰還できた職員は</t>
    </r>
    <r>
      <rPr>
        <sz val="10"/>
        <rFont val="Arial"/>
        <family val="0"/>
        <charset val="1"/>
      </rPr>
      <t xml:space="preserve">0</t>
    </r>
    <r>
      <rPr>
        <sz val="10"/>
        <rFont val="Noto Sans CJK SC"/>
        <family val="2"/>
      </rPr>
      <t xml:space="preserve">名の真実 </t>
    </r>
    <r>
      <rPr>
        <sz val="10"/>
        <rFont val="Arial"/>
        <family val="0"/>
        <charset val="1"/>
      </rPr>
      <t xml:space="preserve">#shorts #</t>
    </r>
    <r>
      <rPr>
        <sz val="10"/>
        <rFont val="Noto Sans CJK SC"/>
        <family val="2"/>
      </rPr>
      <t xml:space="preserve">ゆっくり</t>
    </r>
  </si>
  <si>
    <r>
      <rPr>
        <sz val="10"/>
        <rFont val="Noto Sans CJK SC"/>
        <family val="2"/>
      </rPr>
      <t xml:space="preserve">一口</t>
    </r>
    <r>
      <rPr>
        <sz val="10"/>
        <rFont val="Arial"/>
        <family val="0"/>
        <charset val="1"/>
      </rPr>
      <t xml:space="preserve">SCP</t>
    </r>
    <r>
      <rPr>
        <sz val="10"/>
        <rFont val="Noto Sans CJK SC"/>
        <family val="2"/>
      </rPr>
      <t xml:space="preserve">：収容違反：</t>
    </r>
    <r>
      <rPr>
        <sz val="10"/>
        <rFont val="Arial"/>
        <family val="0"/>
        <charset val="1"/>
      </rPr>
      <t xml:space="preserve">23</t>
    </r>
    <r>
      <rPr>
        <sz val="10"/>
        <rFont val="Noto Sans CJK SC"/>
        <family val="2"/>
      </rPr>
      <t xml:space="preserve">名消滅遺体も血痕も残っていない</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年間封印した「デジタルの監獄」— 収容違反で消えた研究員</t>
    </r>
    <r>
      <rPr>
        <sz val="10"/>
        <rFont val="Arial"/>
        <family val="0"/>
        <charset val="1"/>
      </rPr>
      <t xml:space="preserve">23</t>
    </r>
    <r>
      <rPr>
        <sz val="10"/>
        <rFont val="Noto Sans CJK SC"/>
        <family val="2"/>
      </rPr>
      <t xml:space="preserve">名の正体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</si>
  <si>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寝てる間だけ成長する？</t>
    </r>
    <r>
      <rPr>
        <sz val="10"/>
        <rFont val="Arial"/>
        <family val="0"/>
        <charset val="1"/>
      </rPr>
      <t xml:space="preserve">99%</t>
    </r>
    <r>
      <rPr>
        <sz val="10"/>
        <rFont val="Noto Sans CJK SC"/>
        <family val="2"/>
      </rPr>
      <t xml:space="preserve">が知らない夜の体の秘密</t>
    </r>
    <r>
      <rPr>
        <sz val="10"/>
        <rFont val="Arial"/>
        <family val="0"/>
        <charset val="1"/>
      </rPr>
      <t xml:space="preserve">#</t>
    </r>
    <r>
      <rPr>
        <sz val="10"/>
        <rFont val="Noto Sans CJK SC"/>
        <family val="2"/>
      </rPr>
      <t xml:space="preserve">寝ている間だけ分泌される『あのホルモン』——なぜ</t>
    </r>
    <r>
      <rPr>
        <sz val="10"/>
        <rFont val="Arial"/>
        <family val="0"/>
        <charset val="1"/>
      </rPr>
      <t xml:space="preserve">99%</t>
    </r>
    <r>
      <rPr>
        <sz val="10"/>
        <rFont val="Noto Sans CJK SC"/>
        <family val="2"/>
      </rPr>
      <t xml:space="preserve">の人が睡眠中にしか成長できないのか？ </t>
    </r>
    <r>
      <rPr>
        <sz val="10"/>
        <rFont val="Arial"/>
        <family val="0"/>
        <charset val="1"/>
      </rPr>
      <t xml:space="preserve">#shorts #</t>
    </r>
    <r>
      <rPr>
        <sz val="10"/>
        <rFont val="Noto Sans CJK SC"/>
        <family val="2"/>
      </rPr>
      <t xml:space="preserve">ゆっくり解説</t>
    </r>
  </si>
  <si>
    <r>
      <rPr>
        <sz val="10"/>
        <rFont val="Noto Sans CJK SC"/>
        <family val="2"/>
      </rPr>
      <t xml:space="preserve">財団が封印した感染者</t>
    </r>
    <r>
      <rPr>
        <sz val="10"/>
        <rFont val="Arial"/>
        <family val="0"/>
        <charset val="1"/>
      </rPr>
      <t xml:space="preserve">389</t>
    </r>
    <r>
      <rPr>
        <sz val="10"/>
        <rFont val="Noto Sans CJK SC"/>
        <family val="2"/>
      </rPr>
      <t xml:space="preserve">名の村、帰還者</t>
    </r>
    <r>
      <rPr>
        <sz val="10"/>
        <rFont val="Arial"/>
        <family val="0"/>
        <charset val="1"/>
      </rPr>
      <t xml:space="preserve">2</t>
    </r>
    <r>
      <rPr>
        <sz val="10"/>
        <rFont val="Noto Sans CJK SC"/>
        <family val="2"/>
      </rPr>
      <t xml:space="preserve">名だけが見た本当の理由【ショート】</t>
    </r>
  </si>
  <si>
    <t xml:space="preserve">耳が急に詰まる感覚、実は鼓膜の内側で起きているある現象の正体【ショート】</t>
  </si>
  <si>
    <r>
      <rPr>
        <sz val="10"/>
        <rFont val="Noto Sans CJK SC"/>
        <family val="2"/>
      </rPr>
      <t xml:space="preserve">なぜ今夜、布団で足だけ熱い？</t>
    </r>
    <r>
      <rPr>
        <sz val="10"/>
        <rFont val="Arial"/>
        <family val="0"/>
        <charset val="1"/>
      </rPr>
      <t xml:space="preserve">90%</t>
    </r>
    <r>
      <rPr>
        <sz val="10"/>
        <rFont val="Noto Sans CJK SC"/>
        <family val="2"/>
      </rPr>
      <t xml:space="preserve">が勘違いする</t>
    </r>
    <r>
      <rPr>
        <sz val="10"/>
        <rFont val="Arial"/>
        <family val="0"/>
        <charset val="1"/>
      </rPr>
      <t xml:space="preserve">30</t>
    </r>
    <r>
      <rPr>
        <sz val="10"/>
        <rFont val="Noto Sans CJK SC"/>
        <family val="2"/>
      </rPr>
      <t xml:space="preserve">分の放熱の正体【ショート】</t>
    </r>
  </si>
  <si>
    <r>
      <rPr>
        <sz val="10"/>
        <rFont val="Arial"/>
        <family val="0"/>
        <charset val="1"/>
      </rPr>
      <t xml:space="preserve">SCP-2845</t>
    </r>
    <r>
      <rPr>
        <sz val="10"/>
        <rFont val="Noto Sans CJK SC"/>
        <family val="2"/>
      </rPr>
      <t xml:space="preserve">収容記録：儀式が</t>
    </r>
    <r>
      <rPr>
        <sz val="10"/>
        <rFont val="Arial"/>
        <family val="0"/>
        <charset val="1"/>
      </rPr>
      <t xml:space="preserve">1</t>
    </r>
    <r>
      <rPr>
        <sz val="10"/>
        <rFont val="Noto Sans CJK SC"/>
        <family val="2"/>
      </rPr>
      <t xml:space="preserve">分遅れた夜、</t>
    </r>
    <r>
      <rPr>
        <sz val="10"/>
        <rFont val="Arial"/>
        <family val="0"/>
        <charset val="1"/>
      </rPr>
      <t xml:space="preserve">173</t>
    </r>
    <r>
      <rPr>
        <sz val="10"/>
        <rFont val="Noto Sans CJK SC"/>
        <family val="2"/>
      </rPr>
      <t xml:space="preserve">名はなぜか全員消えた【これが最後の名簿】【ショート】</t>
    </r>
  </si>
  <si>
    <r>
      <rPr>
        <sz val="10"/>
        <rFont val="Noto Sans CJK SC"/>
        <family val="2"/>
      </rPr>
      <t xml:space="preserve">財団が</t>
    </r>
    <r>
      <rPr>
        <sz val="10"/>
        <rFont val="Arial"/>
        <family val="0"/>
        <charset val="1"/>
      </rPr>
      <t xml:space="preserve">23</t>
    </r>
    <r>
      <rPr>
        <sz val="10"/>
        <rFont val="Noto Sans CJK SC"/>
        <family val="2"/>
      </rPr>
      <t xml:space="preserve">年間隠し続けた接近者</t>
    </r>
    <r>
      <rPr>
        <sz val="10"/>
        <rFont val="Arial"/>
        <family val="0"/>
        <charset val="1"/>
      </rPr>
      <t xml:space="preserve">19</t>
    </r>
    <r>
      <rPr>
        <sz val="10"/>
        <rFont val="Noto Sans CJK SC"/>
        <family val="2"/>
      </rPr>
      <t xml:space="preserve">名・生存率</t>
    </r>
    <r>
      <rPr>
        <sz val="10"/>
        <rFont val="Arial"/>
        <family val="0"/>
        <charset val="1"/>
      </rPr>
      <t xml:space="preserve">0%——</t>
    </r>
    <r>
      <rPr>
        <sz val="10"/>
        <rFont val="Noto Sans CJK SC"/>
        <family val="2"/>
      </rPr>
      <t xml:space="preserve">湖で名前を失った本当の理由【ショート】</t>
    </r>
  </si>
  <si>
    <r>
      <rPr>
        <sz val="10"/>
        <rFont val="Noto Sans CJK SC"/>
        <family val="2"/>
      </rPr>
      <t xml:space="preserve">なぜ今目を閉じるとふらつくのか？</t>
    </r>
    <r>
      <rPr>
        <sz val="10"/>
        <rFont val="Arial"/>
        <family val="0"/>
        <charset val="1"/>
      </rPr>
      <t xml:space="preserve">99%</t>
    </r>
    <r>
      <rPr>
        <sz val="10"/>
        <rFont val="Noto Sans CJK SC"/>
        <family val="2"/>
      </rPr>
      <t xml:space="preserve">が知らない最初の</t>
    </r>
    <r>
      <rPr>
        <sz val="10"/>
        <rFont val="Arial"/>
        <family val="0"/>
        <charset val="1"/>
      </rPr>
      <t xml:space="preserve">3</t>
    </r>
    <r>
      <rPr>
        <sz val="10"/>
        <rFont val="Noto Sans CJK SC"/>
        <family val="2"/>
      </rPr>
      <t xml:space="preserve">秒の平衡感覚【ショート】</t>
    </r>
  </si>
  <si>
    <r>
      <rPr>
        <sz val="10"/>
        <rFont val="Arial"/>
        <family val="0"/>
        <charset val="1"/>
      </rPr>
      <t xml:space="preserve">SCP-682</t>
    </r>
    <r>
      <rPr>
        <sz val="10"/>
        <rFont val="Noto Sans CJK SC"/>
        <family val="2"/>
      </rPr>
      <t xml:space="preserve">の酸槽、記録に残らない変化が起きた【ショート】</t>
    </r>
  </si>
  <si>
    <r>
      <rPr>
        <sz val="10"/>
        <rFont val="Noto Sans CJK SC"/>
        <family val="2"/>
      </rPr>
      <t xml:space="preserve">耳鳴り中に特定の音が突き刺さる理由、知ってる？</t>
    </r>
    <r>
      <rPr>
        <sz val="10"/>
        <rFont val="Arial"/>
        <family val="0"/>
        <charset val="1"/>
      </rPr>
      <t xml:space="preserve">#</t>
    </r>
    <r>
      <rPr>
        <sz val="10"/>
        <rFont val="Noto Sans CJK SC"/>
        <family val="2"/>
      </rPr>
      <t xml:space="preserve">耳鳴りのとき、なぜか特定の音だけが異様に気になる——</t>
    </r>
    <r>
      <rPr>
        <sz val="10"/>
        <rFont val="Arial"/>
        <family val="0"/>
        <charset val="1"/>
      </rPr>
      <t xml:space="preserve">99%</t>
    </r>
    <r>
      <rPr>
        <sz val="10"/>
        <rFont val="Noto Sans CJK SC"/>
        <family val="2"/>
      </rPr>
      <t xml:space="preserve">が知らない聴覚の正体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</si>
  <si>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財団が</t>
    </r>
    <r>
      <rPr>
        <sz val="10"/>
        <rFont val="Arial"/>
        <family val="0"/>
        <charset val="1"/>
      </rPr>
      <t xml:space="preserve">23</t>
    </r>
    <r>
      <rPr>
        <sz val="10"/>
        <rFont val="Noto Sans CJK SC"/>
        <family val="2"/>
      </rPr>
      <t xml:space="preserve">年間隠し続けた、</t>
    </r>
    <r>
      <rPr>
        <sz val="10"/>
        <rFont val="Arial"/>
        <family val="0"/>
        <charset val="1"/>
      </rPr>
      <t xml:space="preserve">41</t>
    </r>
    <r>
      <rPr>
        <sz val="10"/>
        <rFont val="Noto Sans CJK SC"/>
        <family val="2"/>
      </rPr>
      <t xml:space="preserve">名が消えた「増え続ける部屋」の本当の理由【ショート】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</si>
  <si>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：収容違反から</t>
    </r>
    <r>
      <rPr>
        <sz val="10"/>
        <rFont val="Arial"/>
        <family val="0"/>
        <charset val="1"/>
      </rPr>
      <t xml:space="preserve">3</t>
    </r>
    <r>
      <rPr>
        <sz val="10"/>
        <rFont val="Noto Sans CJK SC"/>
        <family val="2"/>
      </rPr>
      <t xml:space="preserve">時間／生存者</t>
    </r>
    <r>
      <rPr>
        <sz val="10"/>
        <rFont val="Arial"/>
        <family val="0"/>
        <charset val="1"/>
      </rPr>
      <t xml:space="preserve">0</t>
    </r>
    <r>
      <rPr>
        <sz val="10"/>
        <rFont val="Noto Sans CJK SC"/>
        <family val="2"/>
      </rPr>
      <t xml:space="preserve">名財団が封印した『回路の悪夢』</t>
    </r>
    <r>
      <rPr>
        <sz val="10"/>
        <rFont val="Arial"/>
        <family val="0"/>
        <charset val="1"/>
      </rPr>
      <t xml:space="preserve">#</t>
    </r>
    <r>
      <rPr>
        <sz val="10"/>
        <rFont val="Noto Sans CJK SC"/>
        <family val="2"/>
      </rPr>
      <t xml:space="preserve">電子工作中に</t>
    </r>
    <r>
      <rPr>
        <sz val="10"/>
        <rFont val="Arial"/>
        <family val="0"/>
        <charset val="1"/>
      </rPr>
      <t xml:space="preserve">17</t>
    </r>
    <r>
      <rPr>
        <sz val="10"/>
        <rFont val="Noto Sans CJK SC"/>
        <family val="2"/>
      </rPr>
      <t xml:space="preserve">名が消えた——財団が「あの部品」を封印した本当の理由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</si>
  <si>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電子工作で</t>
    </r>
    <r>
      <rPr>
        <sz val="10"/>
        <rFont val="Arial"/>
        <family val="0"/>
        <charset val="1"/>
      </rPr>
      <t xml:space="preserve">7</t>
    </r>
    <r>
      <rPr>
        <sz val="10"/>
        <rFont val="Noto Sans CJK SC"/>
        <family val="2"/>
      </rPr>
      <t xml:space="preserve">人消えた…財団が封印した『悪夢の回路』だけ異常すぎる理由【ショート】</t>
    </r>
  </si>
  <si>
    <r>
      <rPr>
        <sz val="10"/>
        <rFont val="Noto Sans CJK SC"/>
        <family val="2"/>
      </rPr>
      <t xml:space="preserve">財団が</t>
    </r>
    <r>
      <rPr>
        <sz val="10"/>
        <rFont val="Arial"/>
        <family val="0"/>
        <charset val="1"/>
      </rPr>
      <t xml:space="preserve">13</t>
    </r>
    <r>
      <rPr>
        <sz val="10"/>
        <rFont val="Noto Sans CJK SC"/>
        <family val="2"/>
      </rPr>
      <t xml:space="preserve">年間隠し続けた「</t>
    </r>
    <r>
      <rPr>
        <sz val="10"/>
        <rFont val="Arial"/>
        <family val="0"/>
        <charset val="1"/>
      </rPr>
      <t xml:space="preserve">13</t>
    </r>
    <r>
      <rPr>
        <sz val="10"/>
        <rFont val="Noto Sans CJK SC"/>
        <family val="2"/>
      </rPr>
      <t xml:space="preserve">名の改竄要求」</t>
    </r>
    <r>
      <rPr>
        <sz val="10"/>
        <rFont val="Arial"/>
        <family val="0"/>
        <charset val="1"/>
      </rPr>
      <t xml:space="preserve">SCP-2718</t>
    </r>
    <r>
      <rPr>
        <sz val="10"/>
        <rFont val="Noto Sans CJK SC"/>
        <family val="2"/>
      </rPr>
      <t xml:space="preserve">死後記録の真実【ショート】</t>
    </r>
  </si>
  <si>
    <r>
      <rPr>
        <sz val="10"/>
        <rFont val="Noto Sans CJK SC"/>
        <family val="2"/>
      </rPr>
      <t xml:space="preserve">なんか靴下だけ消えるんやが</t>
    </r>
    <r>
      <rPr>
        <sz val="10"/>
        <rFont val="Arial"/>
        <family val="0"/>
        <charset val="1"/>
      </rPr>
      <t xml:space="preserve">w</t>
    </r>
    <r>
      <rPr>
        <sz val="10"/>
        <rFont val="Noto Sans CJK SC"/>
        <family val="2"/>
      </rPr>
      <t xml:space="preserve">【ショート】</t>
    </r>
  </si>
  <si>
    <t xml:space="preserve">不調</t>
  </si>
  <si>
    <r>
      <rPr>
        <sz val="10"/>
        <rFont val="Noto Sans CJK SC"/>
        <family val="2"/>
      </rPr>
      <t xml:space="preserve">なぜ辛い物で汗が出るのか？実は</t>
    </r>
    <r>
      <rPr>
        <sz val="10"/>
        <rFont val="Arial"/>
        <family val="0"/>
        <charset val="1"/>
      </rPr>
      <t xml:space="preserve">9</t>
    </r>
    <r>
      <rPr>
        <sz val="10"/>
        <rFont val="Noto Sans CJK SC"/>
        <family val="2"/>
      </rPr>
      <t xml:space="preserve">割が勘違いする</t>
    </r>
    <r>
      <rPr>
        <sz val="10"/>
        <rFont val="Arial"/>
        <family val="0"/>
        <charset val="1"/>
      </rPr>
      <t xml:space="preserve">0.5</t>
    </r>
    <r>
      <rPr>
        <sz val="10"/>
        <rFont val="Noto Sans CJK SC"/>
        <family val="2"/>
      </rPr>
      <t xml:space="preserve">秒の温度反応【ショート】</t>
    </r>
  </si>
  <si>
    <r>
      <rPr>
        <sz val="10"/>
        <rFont val="Arial"/>
        <family val="0"/>
        <charset val="1"/>
      </rPr>
      <t xml:space="preserve">SCP-871</t>
    </r>
    <r>
      <rPr>
        <sz val="10"/>
        <rFont val="Noto Sans CJK SC"/>
        <family val="2"/>
      </rPr>
      <t xml:space="preserve">「自己複製するケーキ」を</t>
    </r>
    <r>
      <rPr>
        <sz val="10"/>
        <rFont val="Arial"/>
        <family val="0"/>
        <charset val="1"/>
      </rPr>
      <t xml:space="preserve">SCP-914</t>
    </r>
    <r>
      <rPr>
        <sz val="10"/>
        <rFont val="Noto Sans CJK SC"/>
        <family val="2"/>
      </rPr>
      <t xml:space="preserve">で魔改造したら——財団が封印した実験ログの結末【ショート】</t>
    </r>
  </si>
  <si>
    <r>
      <rPr>
        <sz val="10"/>
        <rFont val="Noto Sans CJK SC"/>
        <family val="2"/>
      </rPr>
      <t xml:space="preserve">一口</t>
    </r>
    <r>
      <rPr>
        <sz val="10"/>
        <rFont val="Arial"/>
        <family val="0"/>
        <charset val="1"/>
      </rPr>
      <t xml:space="preserve">SCP</t>
    </r>
    <r>
      <rPr>
        <sz val="10"/>
        <rFont val="Noto Sans CJK SC"/>
        <family val="2"/>
      </rPr>
      <t xml:space="preserve">：財団が人類を殲滅する側に</t>
    </r>
    <r>
      <rPr>
        <sz val="10"/>
        <rFont val="Arial"/>
        <family val="0"/>
        <charset val="1"/>
      </rPr>
      <t xml:space="preserve">!?</t>
    </r>
    <r>
      <rPr>
        <sz val="10"/>
        <rFont val="Noto Sans CJK SC"/>
        <family val="2"/>
      </rPr>
      <t xml:space="preserve">隠された提言が今、暴かれる</t>
    </r>
    <r>
      <rPr>
        <sz val="10"/>
        <rFont val="Arial"/>
        <family val="0"/>
        <charset val="1"/>
      </rPr>
      <t xml:space="preserve">#</t>
    </r>
    <r>
      <rPr>
        <sz val="10"/>
        <rFont val="Noto Sans CJK SC"/>
        <family val="2"/>
      </rPr>
      <t xml:space="preserve">財団が隠した『人類殲滅提言』の真実とは </t>
    </r>
    <r>
      <rPr>
        <sz val="10"/>
        <rFont val="Arial"/>
        <family val="0"/>
        <charset val="1"/>
      </rPr>
      <t xml:space="preserve">#shorts #</t>
    </r>
    <r>
      <rPr>
        <sz val="10"/>
        <rFont val="Noto Sans CJK SC"/>
        <family val="2"/>
      </rPr>
      <t xml:space="preserve">ゆっくり解説</t>
    </r>
  </si>
  <si>
    <r>
      <rPr>
        <sz val="10"/>
        <rFont val="Noto Sans CJK SC"/>
        <family val="2"/>
      </rPr>
      <t xml:space="preserve">なぜくしゃみの後だけ体が軽いのか？</t>
    </r>
    <r>
      <rPr>
        <sz val="10"/>
        <rFont val="Arial"/>
        <family val="0"/>
        <charset val="1"/>
      </rPr>
      <t xml:space="preserve">9</t>
    </r>
    <r>
      <rPr>
        <sz val="10"/>
        <rFont val="Noto Sans CJK SC"/>
        <family val="2"/>
      </rPr>
      <t xml:space="preserve">割が知らない</t>
    </r>
    <r>
      <rPr>
        <sz val="10"/>
        <rFont val="Arial"/>
        <family val="0"/>
        <charset val="1"/>
      </rPr>
      <t xml:space="preserve">3</t>
    </r>
    <r>
      <rPr>
        <sz val="10"/>
        <rFont val="Noto Sans CJK SC"/>
        <family val="2"/>
      </rPr>
      <t xml:space="preserve">秒間の神経反応【ショート】</t>
    </r>
  </si>
  <si>
    <t xml:space="preserve">耳鳴りの瞬間、なぜ突然やってくる？その意外な原因とは【ショート】</t>
  </si>
  <si>
    <r>
      <rPr>
        <sz val="10"/>
        <rFont val="Noto Sans CJK SC"/>
        <family val="2"/>
      </rPr>
      <t xml:space="preserve">あくびが「うつる」のは気のせいじゃない</t>
    </r>
    <r>
      <rPr>
        <sz val="10"/>
        <rFont val="Arial"/>
        <family val="0"/>
        <charset val="1"/>
      </rPr>
      <t xml:space="preserve">99%</t>
    </r>
    <r>
      <rPr>
        <sz val="10"/>
        <rFont val="Noto Sans CJK SC"/>
        <family val="2"/>
      </rPr>
      <t xml:space="preserve">が知らない脳の正体</t>
    </r>
    <r>
      <rPr>
        <sz val="10"/>
        <rFont val="Arial"/>
        <family val="0"/>
        <charset val="1"/>
      </rPr>
      <t xml:space="preserve">#</t>
    </r>
    <r>
      <rPr>
        <sz val="10"/>
        <rFont val="Noto Sans CJK SC"/>
        <family val="2"/>
      </rPr>
      <t xml:space="preserve">あくびが「うつる」のは気のせいじゃない——</t>
    </r>
    <r>
      <rPr>
        <sz val="10"/>
        <rFont val="Arial"/>
        <family val="0"/>
        <charset val="1"/>
      </rPr>
      <t xml:space="preserve">99%</t>
    </r>
    <r>
      <rPr>
        <sz val="10"/>
        <rFont val="Noto Sans CJK SC"/>
        <family val="2"/>
      </rPr>
      <t xml:space="preserve">が知らない脳の同調メカニズムの正体 </t>
    </r>
    <r>
      <rPr>
        <sz val="10"/>
        <rFont val="Arial"/>
        <family val="0"/>
        <charset val="1"/>
      </rPr>
      <t xml:space="preserve">#shorts #</t>
    </r>
    <r>
      <rPr>
        <sz val="10"/>
        <rFont val="Noto Sans CJK SC"/>
        <family val="2"/>
      </rPr>
      <t xml:space="preserve">ゆっくり解説</t>
    </r>
  </si>
  <si>
    <t xml:space="preserve">2026-07-27</t>
  </si>
  <si>
    <r>
      <rPr>
        <sz val="10"/>
        <rFont val="Arial"/>
        <family val="0"/>
        <charset val="1"/>
      </rPr>
      <t xml:space="preserve">SCP-</t>
    </r>
    <r>
      <rPr>
        <sz val="10"/>
        <rFont val="Noto Sans CJK SC"/>
        <family val="2"/>
      </rPr>
      <t xml:space="preserve">財団が隠し続けた</t>
    </r>
    <r>
      <rPr>
        <sz val="10"/>
        <rFont val="Arial"/>
        <family val="0"/>
        <charset val="1"/>
      </rPr>
      <t xml:space="preserve">D</t>
    </r>
    <r>
      <rPr>
        <sz val="10"/>
        <rFont val="Noto Sans CJK SC"/>
        <family val="2"/>
      </rPr>
      <t xml:space="preserve">クラスの真実——欲望と恐怖の狭間で消耗される人々【ショート】</t>
    </r>
  </si>
  <si>
    <r>
      <rPr>
        <sz val="10"/>
        <rFont val="Arial"/>
        <family val="0"/>
        <charset val="1"/>
      </rPr>
      <t xml:space="preserve">GOC</t>
    </r>
    <r>
      <rPr>
        <sz val="10"/>
        <rFont val="Noto Sans CJK SC"/>
        <family val="2"/>
      </rPr>
      <t xml:space="preserve">と蛇の手の真実 — 異常存在に対する戦略の謎【ショート】</t>
    </r>
  </si>
  <si>
    <r>
      <rPr>
        <sz val="10"/>
        <rFont val="Noto Sans CJK SC"/>
        <family val="2"/>
      </rPr>
      <t xml:space="preserve">あなたの体で毎晩起きていること、気づいていますか？</t>
    </r>
    <r>
      <rPr>
        <sz val="10"/>
        <rFont val="Arial"/>
        <family val="0"/>
        <charset val="1"/>
      </rPr>
      <t xml:space="preserve">#</t>
    </r>
    <r>
      <rPr>
        <sz val="10"/>
        <rFont val="Noto Sans CJK SC"/>
        <family val="2"/>
      </rPr>
      <t xml:space="preserve">睡眠中の『口の乾き』——</t>
    </r>
    <r>
      <rPr>
        <sz val="10"/>
        <rFont val="Arial"/>
        <family val="0"/>
        <charset val="1"/>
      </rPr>
      <t xml:space="preserve">99%</t>
    </r>
    <r>
      <rPr>
        <sz val="10"/>
        <rFont val="Noto Sans CJK SC"/>
        <family val="2"/>
      </rPr>
      <t xml:space="preserve">が見過ごす体内の変化とは？ </t>
    </r>
    <r>
      <rPr>
        <sz val="10"/>
        <rFont val="Arial"/>
        <family val="0"/>
        <charset val="1"/>
      </rPr>
      <t xml:space="preserve">#shorts #</t>
    </r>
    <r>
      <rPr>
        <sz val="10"/>
        <rFont val="Noto Sans CJK SC"/>
        <family val="2"/>
      </rPr>
      <t xml:space="preserve">ゆっくり解説</t>
    </r>
  </si>
  <si>
    <r>
      <rPr>
        <sz val="10"/>
        <rFont val="Noto Sans CJK SC"/>
        <family val="2"/>
      </rPr>
      <t xml:space="preserve">なぜ今、片方の手だけ冷たいのか？</t>
    </r>
    <r>
      <rPr>
        <sz val="10"/>
        <rFont val="Arial"/>
        <family val="0"/>
        <charset val="1"/>
      </rPr>
      <t xml:space="preserve">9</t>
    </r>
    <r>
      <rPr>
        <sz val="10"/>
        <rFont val="Noto Sans CJK SC"/>
        <family val="2"/>
      </rPr>
      <t xml:space="preserve">割が見落とす</t>
    </r>
    <r>
      <rPr>
        <sz val="10"/>
        <rFont val="Arial"/>
        <family val="0"/>
        <charset val="1"/>
      </rPr>
      <t xml:space="preserve">2</t>
    </r>
    <r>
      <rPr>
        <sz val="10"/>
        <rFont val="Noto Sans CJK SC"/>
        <family val="2"/>
      </rPr>
      <t xml:space="preserve">倍の血流差【ショート】</t>
    </r>
  </si>
  <si>
    <t xml:space="preserve">なぜ運動で気分がスッキリする？実は脳内で『あの物質』が暴走中！【ショート】</t>
  </si>
  <si>
    <r>
      <rPr>
        <sz val="10"/>
        <rFont val="Noto Sans CJK SC"/>
        <family val="2"/>
      </rPr>
      <t xml:space="preserve">なぜ毎晩</t>
    </r>
    <r>
      <rPr>
        <sz val="10"/>
        <rFont val="Arial"/>
        <family val="0"/>
        <charset val="1"/>
      </rPr>
      <t xml:space="preserve">3</t>
    </r>
    <r>
      <rPr>
        <sz val="10"/>
        <rFont val="Noto Sans CJK SC"/>
        <family val="2"/>
      </rPr>
      <t xml:space="preserve">時に目が覚める？体内時計が仕掛ける意外な罠</t>
    </r>
  </si>
  <si>
    <r>
      <rPr>
        <sz val="10"/>
        <rFont val="Noto Sans CJK SC"/>
        <family val="2"/>
      </rPr>
      <t xml:space="preserve">なぜ日中の疲れで耳鳴りが悪化する？</t>
    </r>
    <r>
      <rPr>
        <sz val="10"/>
        <rFont val="Arial"/>
        <family val="0"/>
        <charset val="1"/>
      </rPr>
      <t xml:space="preserve">99%</t>
    </r>
    <r>
      <rPr>
        <sz val="10"/>
        <rFont val="Noto Sans CJK SC"/>
        <family val="2"/>
      </rPr>
      <t xml:space="preserve">が知らない体の『裏モード』の正体【ショート】</t>
    </r>
  </si>
  <si>
    <r>
      <rPr>
        <sz val="10"/>
        <rFont val="Noto Sans CJK SC"/>
        <family val="2"/>
      </rPr>
      <t xml:space="preserve">一口</t>
    </r>
    <r>
      <rPr>
        <sz val="10"/>
        <rFont val="Arial"/>
        <family val="0"/>
        <charset val="1"/>
      </rPr>
      <t xml:space="preserve">SCP</t>
    </r>
    <r>
      <rPr>
        <sz val="10"/>
        <rFont val="Noto Sans CJK SC"/>
        <family val="2"/>
      </rPr>
      <t xml:space="preserve">：目撃者</t>
    </r>
    <r>
      <rPr>
        <sz val="10"/>
        <rFont val="Arial"/>
        <family val="0"/>
        <charset val="1"/>
      </rPr>
      <t xml:space="preserve">47</t>
    </r>
    <r>
      <rPr>
        <sz val="10"/>
        <rFont val="Noto Sans CJK SC"/>
        <family val="2"/>
      </rPr>
      <t xml:space="preserve">名／精神的生存率</t>
    </r>
    <r>
      <rPr>
        <sz val="10"/>
        <rFont val="Arial"/>
        <family val="0"/>
        <charset val="1"/>
      </rPr>
      <t xml:space="preserve">0%</t>
    </r>
    <r>
      <rPr>
        <sz val="10"/>
        <rFont val="Noto Sans CJK SC"/>
        <family val="2"/>
      </rPr>
      <t xml:space="preserve">財団が</t>
    </r>
    <r>
      <rPr>
        <sz val="10"/>
        <rFont val="Arial"/>
        <family val="0"/>
        <charset val="1"/>
      </rPr>
      <t xml:space="preserve">17</t>
    </r>
    <r>
      <rPr>
        <sz val="10"/>
        <rFont val="Noto Sans CJK SC"/>
        <family val="2"/>
      </rPr>
      <t xml:space="preserve">年間『視覚汚染』と呼んだ理由</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年間隠し続けた視覚汚染体——目撃者全員が廃人化、生存率</t>
    </r>
    <r>
      <rPr>
        <sz val="10"/>
        <rFont val="Arial"/>
        <family val="0"/>
        <charset val="1"/>
      </rPr>
      <t xml:space="preserve">0%</t>
    </r>
    <r>
      <rPr>
        <sz val="10"/>
        <rFont val="Noto Sans CJK SC"/>
        <family val="2"/>
      </rPr>
      <t xml:space="preserve">の本当の理由 </t>
    </r>
    <r>
      <rPr>
        <sz val="10"/>
        <rFont val="Arial"/>
        <family val="0"/>
        <charset val="1"/>
      </rPr>
      <t xml:space="preserve">#shorts #</t>
    </r>
    <r>
      <rPr>
        <sz val="10"/>
        <rFont val="Noto Sans CJK SC"/>
        <family val="2"/>
      </rPr>
      <t xml:space="preserve">ゆっくり解説</t>
    </r>
  </si>
  <si>
    <r>
      <rPr>
        <sz val="10"/>
        <rFont val="Arial"/>
        <family val="0"/>
        <charset val="1"/>
      </rPr>
      <t xml:space="preserve">1</t>
    </r>
    <r>
      <rPr>
        <sz val="10"/>
        <rFont val="Noto Sans CJK SC"/>
        <family val="2"/>
      </rPr>
      <t xml:space="preserve">分ポケモン研究：図鑑のあの説明文、どうしてそんなに怖いのか？公式が書いた衝撃のテキストを考察！</t>
    </r>
    <r>
      <rPr>
        <sz val="10"/>
        <rFont val="Arial"/>
        <family val="0"/>
        <charset val="1"/>
      </rPr>
      <t xml:space="preserve">#shorts #</t>
    </r>
    <r>
      <rPr>
        <sz val="10"/>
        <rFont val="Noto Sans CJK SC"/>
        <family val="2"/>
      </rPr>
      <t xml:space="preserve">ゆっくり解説</t>
    </r>
  </si>
  <si>
    <r>
      <rPr>
        <sz val="10"/>
        <rFont val="Noto Sans CJK SC"/>
        <family val="2"/>
      </rPr>
      <t xml:space="preserve">全長『測定不能』の深海巨大生物</t>
    </r>
    <r>
      <rPr>
        <sz val="10"/>
        <rFont val="Arial"/>
        <family val="0"/>
        <charset val="1"/>
      </rPr>
      <t xml:space="preserve">SCP-3000──</t>
    </r>
    <r>
      <rPr>
        <sz val="10"/>
        <rFont val="Noto Sans CJK SC"/>
        <family val="2"/>
      </rPr>
      <t xml:space="preserve">記憶を溶かす怪物から搾り取られる物質</t>
    </r>
    <r>
      <rPr>
        <sz val="10"/>
        <rFont val="Arial"/>
        <family val="0"/>
        <charset val="1"/>
      </rPr>
      <t xml:space="preserve">Y-909</t>
    </r>
    <r>
      <rPr>
        <sz val="10"/>
        <rFont val="Noto Sans CJK SC"/>
        <family val="2"/>
      </rPr>
      <t xml:space="preserve">の正体</t>
    </r>
  </si>
  <si>
    <r>
      <rPr>
        <sz val="10"/>
        <rFont val="Arial"/>
        <family val="0"/>
        <charset val="1"/>
      </rPr>
      <t xml:space="preserve">1</t>
    </r>
    <r>
      <rPr>
        <sz val="10"/>
        <rFont val="Noto Sans CJK SC"/>
        <family val="2"/>
      </rPr>
      <t xml:space="preserve">分妖怪ファイル：妖怪の名前がダジャレなのはナゼか</t>
    </r>
    <r>
      <rPr>
        <sz val="10"/>
        <rFont val="Arial"/>
        <family val="0"/>
        <charset val="1"/>
      </rPr>
      <t xml:space="preserve">?</t>
    </r>
  </si>
  <si>
    <r>
      <rPr>
        <sz val="10"/>
        <rFont val="Noto Sans CJK SC"/>
        <family val="2"/>
      </rPr>
      <t xml:space="preserve">飲み会で絶対見られたくない通知あげてけ</t>
    </r>
    <r>
      <rPr>
        <sz val="10"/>
        <rFont val="Arial"/>
        <family val="0"/>
        <charset val="1"/>
      </rPr>
      <t xml:space="preserve">w</t>
    </r>
    <r>
      <rPr>
        <sz val="10"/>
        <rFont val="Noto Sans CJK SC"/>
        <family val="2"/>
      </rPr>
      <t xml:space="preserve">【ショート】</t>
    </r>
  </si>
  <si>
    <r>
      <rPr>
        <sz val="10"/>
        <rFont val="Noto Sans CJK SC"/>
        <family val="2"/>
      </rPr>
      <t xml:space="preserve">ワイ、</t>
    </r>
    <r>
      <rPr>
        <sz val="10"/>
        <rFont val="Arial"/>
        <family val="0"/>
        <charset val="1"/>
      </rPr>
      <t xml:space="preserve">AI</t>
    </r>
    <r>
      <rPr>
        <sz val="10"/>
        <rFont val="Noto Sans CJK SC"/>
        <family val="2"/>
      </rPr>
      <t xml:space="preserve">に変な質問する係やけど質問ある？</t>
    </r>
    <r>
      <rPr>
        <sz val="10"/>
        <rFont val="Arial"/>
        <family val="0"/>
        <charset val="1"/>
      </rPr>
      <t xml:space="preserve">w</t>
    </r>
    <r>
      <rPr>
        <sz val="10"/>
        <rFont val="Noto Sans CJK SC"/>
        <family val="2"/>
      </rPr>
      <t xml:space="preserve">【ショート】</t>
    </r>
  </si>
  <si>
    <t xml:space="preserve">2026-08-21</t>
  </si>
  <si>
    <r>
      <rPr>
        <sz val="10"/>
        <rFont val="Noto Sans CJK SC"/>
        <family val="2"/>
      </rPr>
      <t xml:space="preserve">ワイ、サーモス歴</t>
    </r>
    <r>
      <rPr>
        <sz val="10"/>
        <rFont val="Arial"/>
        <family val="0"/>
        <charset val="1"/>
      </rPr>
      <t xml:space="preserve">3</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</si>
  <si>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t xml:space="preserve">反映待ち</t>
  </si>
  <si>
    <t xml:space="preserve">2026-08-20</t>
  </si>
  <si>
    <r>
      <rPr>
        <sz val="10"/>
        <rFont val="Noto Sans CJK SC"/>
        <family val="2"/>
      </rPr>
      <t xml:space="preserve">ワイ、アジア大会珍プレー歴</t>
    </r>
    <r>
      <rPr>
        <sz val="10"/>
        <rFont val="Arial"/>
        <family val="0"/>
        <charset val="1"/>
      </rPr>
      <t xml:space="preserve">0</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</si>
  <si>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r>
      <rPr>
        <sz val="10"/>
        <rFont val="Arial"/>
        <family val="0"/>
        <charset val="1"/>
      </rPr>
      <t xml:space="preserve">3</t>
    </r>
    <r>
      <rPr>
        <sz val="10"/>
        <rFont val="Noto Sans CJK SC"/>
        <family val="2"/>
      </rPr>
      <t xml:space="preserve">秒で考えろ！この戦闘機の名前が親戚回避型な理由とは？【ショート】</t>
    </r>
  </si>
  <si>
    <r>
      <rPr>
        <sz val="10"/>
        <rFont val="Noto Sans CJK SC"/>
        <family val="2"/>
      </rPr>
      <t xml:space="preserve">なぜ熱闘甲子園の夜だけ空気が変わる？お前らの夏の思い出</t>
    </r>
    <r>
      <rPr>
        <sz val="10"/>
        <rFont val="Arial"/>
        <family val="0"/>
        <charset val="1"/>
      </rPr>
      <t xml:space="preserve">5</t>
    </r>
    <r>
      <rPr>
        <sz val="10"/>
        <rFont val="Noto Sans CJK SC"/>
        <family val="2"/>
      </rPr>
      <t xml:space="preserve">つ聞かせろ【ショート】</t>
    </r>
  </si>
  <si>
    <t xml:space="preserve">2026-08-19</t>
  </si>
  <si>
    <r>
      <rPr>
        <sz val="10"/>
        <rFont val="Arial"/>
        <family val="0"/>
        <charset val="1"/>
      </rPr>
      <t xml:space="preserve">PC</t>
    </r>
    <r>
      <rPr>
        <sz val="10"/>
        <rFont val="Noto Sans CJK SC"/>
        <family val="2"/>
      </rPr>
      <t xml:space="preserve">パーツ到着時、なぜ箱だけ先に届くのか？【ショート】</t>
    </r>
  </si>
  <si>
    <r>
      <rPr>
        <sz val="10"/>
        <rFont val="Noto Sans CJK SC"/>
        <family val="2"/>
      </rPr>
      <t xml:space="preserve">ちいかわチョコサプ、なぜ中身が攻めすぎなのか？</t>
    </r>
    <r>
      <rPr>
        <sz val="10"/>
        <rFont val="Arial"/>
        <family val="0"/>
        <charset val="1"/>
      </rPr>
      <t xml:space="preserve">3</t>
    </r>
    <r>
      <rPr>
        <sz val="10"/>
        <rFont val="Noto Sans CJK SC"/>
        <family val="2"/>
      </rPr>
      <t xml:space="preserve">秒予想してみたら草【ショート】</t>
    </r>
  </si>
  <si>
    <r>
      <rPr>
        <sz val="10"/>
        <rFont val="Noto Sans CJK SC"/>
        <family val="2"/>
      </rPr>
      <t xml:space="preserve">なぜケンタッキー月見は</t>
    </r>
    <r>
      <rPr>
        <sz val="10"/>
        <rFont val="Arial"/>
        <family val="0"/>
        <charset val="1"/>
      </rPr>
      <t xml:space="preserve">3</t>
    </r>
    <r>
      <rPr>
        <sz val="10"/>
        <rFont val="Noto Sans CJK SC"/>
        <family val="2"/>
      </rPr>
      <t xml:space="preserve">秒で秋の給料日になるのか、食べた感想あげてけ</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</si>
  <si>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分科学 </t>
    </r>
    <r>
      <rPr>
        <sz val="10"/>
        <rFont val="Arial"/>
        <family val="0"/>
        <charset val="1"/>
      </rPr>
      <t xml:space="preserve">#89</t>
    </r>
    <r>
      <rPr>
        <sz val="10"/>
        <rFont val="Noto Sans CJK SC"/>
        <family val="2"/>
      </rPr>
      <t xml:space="preserve">：💯なぜあなたは寝る直前だけ昔の失敗を思い出すのか？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秒の脳内変化【ショート】</t>
    </r>
  </si>
  <si>
    <r>
      <rPr>
        <sz val="10"/>
        <rFont val="Arial"/>
        <family val="0"/>
        <charset val="1"/>
      </rPr>
      <t xml:space="preserve">1</t>
    </r>
    <r>
      <rPr>
        <sz val="10"/>
        <rFont val="Noto Sans CJK SC"/>
        <family val="2"/>
      </rPr>
      <t xml:space="preserve">分科学 </t>
    </r>
    <r>
      <rPr>
        <sz val="10"/>
        <rFont val="Arial"/>
        <family val="0"/>
        <charset val="1"/>
      </rPr>
      <t xml:space="preserve">#88</t>
    </r>
    <r>
      <rPr>
        <sz val="10"/>
        <rFont val="Noto Sans CJK SC"/>
        <family val="2"/>
      </rPr>
      <t xml:space="preserve">：📈なぜあなたは最後の</t>
    </r>
    <r>
      <rPr>
        <sz val="10"/>
        <rFont val="Arial"/>
        <family val="0"/>
        <charset val="1"/>
      </rPr>
      <t xml:space="preserve">1</t>
    </r>
    <r>
      <rPr>
        <sz val="10"/>
        <rFont val="Noto Sans CJK SC"/>
        <family val="2"/>
      </rPr>
      <t xml:space="preserve">段だけ踏み外す？</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秒のズレ📊【ショート】</t>
    </r>
  </si>
  <si>
    <r>
      <rPr>
        <sz val="10"/>
        <rFont val="Noto Sans CJK SC"/>
        <family val="2"/>
      </rPr>
      <t xml:space="preserve">なぜ正座を崩した瞬間だけビリビリするのか？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秒の正体【ショート】</t>
    </r>
  </si>
  <si>
    <r>
      <rPr>
        <sz val="10"/>
        <rFont val="Arial"/>
        <family val="0"/>
        <charset val="1"/>
      </rPr>
      <t xml:space="preserve">1</t>
    </r>
    <r>
      <rPr>
        <sz val="10"/>
        <rFont val="Noto Sans CJK SC"/>
        <family val="2"/>
      </rPr>
      <t xml:space="preserve">分科学 </t>
    </r>
    <r>
      <rPr>
        <sz val="10"/>
        <rFont val="Arial"/>
        <family val="0"/>
        <charset val="1"/>
      </rPr>
      <t xml:space="preserve">#90</t>
    </r>
    <r>
      <rPr>
        <sz val="10"/>
        <rFont val="Noto Sans CJK SC"/>
        <family val="2"/>
      </rPr>
      <t xml:space="preserve">：💯なぜあなたの舌はやけど後だけ味が消える？</t>
    </r>
    <r>
      <rPr>
        <sz val="10"/>
        <rFont val="Arial"/>
        <family val="0"/>
        <charset val="1"/>
      </rPr>
      <t xml:space="preserve">99%</t>
    </r>
    <r>
      <rPr>
        <sz val="10"/>
        <rFont val="Noto Sans CJK SC"/>
        <family val="2"/>
      </rPr>
      <t xml:space="preserve">が知らない</t>
    </r>
    <r>
      <rPr>
        <sz val="10"/>
        <rFont val="Arial"/>
        <family val="0"/>
        <charset val="1"/>
      </rPr>
      <t xml:space="preserve">10</t>
    </r>
    <r>
      <rPr>
        <sz val="10"/>
        <rFont val="Noto Sans CJK SC"/>
        <family val="2"/>
      </rPr>
      <t xml:space="preserve">日の入れ替わり【ショート】</t>
    </r>
  </si>
  <si>
    <r>
      <rPr>
        <sz val="10"/>
        <rFont val="Noto Sans CJK SC"/>
        <family val="2"/>
      </rPr>
      <t xml:space="preserve">ガブリアスとボーマンダ、素早さ</t>
    </r>
    <r>
      <rPr>
        <sz val="10"/>
        <rFont val="Arial"/>
        <family val="0"/>
        <charset val="1"/>
      </rPr>
      <t xml:space="preserve">1</t>
    </r>
    <r>
      <rPr>
        <sz val="10"/>
        <rFont val="Noto Sans CJK SC"/>
        <family val="2"/>
      </rPr>
      <t xml:space="preserve">でどっちが勝つ？君は気づけるか【ショート】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</si>
  <si>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#9</t>
    </r>
    <r>
      <rPr>
        <sz val="10"/>
        <rFont val="Noto Sans CJK SC"/>
        <family val="2"/>
      </rPr>
      <t xml:space="preserve">：🎮カイオーガとグラードン、天候を</t>
    </r>
    <r>
      <rPr>
        <sz val="10"/>
        <rFont val="Arial"/>
        <family val="0"/>
        <charset val="1"/>
      </rPr>
      <t xml:space="preserve">2</t>
    </r>
    <r>
      <rPr>
        <sz val="10"/>
        <rFont val="Noto Sans CJK SC"/>
        <family val="2"/>
      </rPr>
      <t xml:space="preserve">回張ったらどっちが勝つ？【ショート】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</si>
  <si>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#11</t>
    </r>
    <r>
      <rPr>
        <sz val="10"/>
        <rFont val="Noto Sans CJK SC"/>
        <family val="2"/>
      </rPr>
      <t xml:space="preserve">：🔥ドラパルトとガブリアス、君は</t>
    </r>
    <r>
      <rPr>
        <sz val="10"/>
        <rFont val="Arial"/>
        <family val="0"/>
        <charset val="1"/>
      </rPr>
      <t xml:space="preserve">3</t>
    </r>
    <r>
      <rPr>
        <sz val="10"/>
        <rFont val="Noto Sans CJK SC"/>
        <family val="2"/>
      </rPr>
      <t xml:space="preserve">秒で速さの壁を越えられる？【ショート】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</si>
  <si>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#10</t>
    </r>
    <r>
      <rPr>
        <sz val="10"/>
        <rFont val="Noto Sans CJK SC"/>
        <family val="2"/>
      </rPr>
      <t xml:space="preserve">：🔥あなたの飲み物を</t>
    </r>
    <r>
      <rPr>
        <sz val="10"/>
        <rFont val="Arial"/>
        <family val="0"/>
        <charset val="1"/>
      </rPr>
      <t xml:space="preserve">6</t>
    </r>
    <r>
      <rPr>
        <sz val="10"/>
        <rFont val="Noto Sans CJK SC"/>
        <family val="2"/>
      </rPr>
      <t xml:space="preserve">時間守るポケモン、なぜ存在する？【ショート】</t>
    </r>
  </si>
  <si>
    <r>
      <rPr>
        <sz val="10"/>
        <rFont val="Noto Sans CJK SC"/>
        <family val="2"/>
      </rPr>
      <t xml:space="preserve">一口</t>
    </r>
    <r>
      <rPr>
        <sz val="10"/>
        <rFont val="Arial"/>
        <family val="0"/>
        <charset val="1"/>
      </rPr>
      <t xml:space="preserve">SCP #91</t>
    </r>
    <r>
      <rPr>
        <sz val="10"/>
        <rFont val="Noto Sans CJK SC"/>
        <family val="2"/>
      </rPr>
      <t xml:space="preserve">：⚠️</t>
    </r>
    <r>
      <rPr>
        <sz val="10"/>
        <rFont val="Arial"/>
        <family val="0"/>
        <charset val="1"/>
      </rPr>
      <t xml:space="preserve">SCP-1523-JP</t>
    </r>
    <r>
      <rPr>
        <sz val="10"/>
        <rFont val="Noto Sans CJK SC"/>
        <family val="2"/>
      </rPr>
      <t xml:space="preserve">「かまいたち」— 被害記録</t>
    </r>
    <r>
      <rPr>
        <sz val="10"/>
        <rFont val="Arial"/>
        <family val="0"/>
        <charset val="1"/>
      </rPr>
      <t xml:space="preserve">17</t>
    </r>
    <r>
      <rPr>
        <sz val="10"/>
        <rFont val="Noto Sans CJK SC"/>
        <family val="2"/>
      </rPr>
      <t xml:space="preserve">件、傷だけ残った夜【ショート】</t>
    </r>
  </si>
  <si>
    <r>
      <rPr>
        <sz val="10"/>
        <rFont val="Noto Sans CJK SC"/>
        <family val="2"/>
      </rPr>
      <t xml:space="preserve">一口</t>
    </r>
    <r>
      <rPr>
        <sz val="10"/>
        <rFont val="Arial"/>
        <family val="0"/>
        <charset val="1"/>
      </rPr>
      <t xml:space="preserve">SCP #92</t>
    </r>
    <r>
      <rPr>
        <sz val="10"/>
        <rFont val="Noto Sans CJK SC"/>
        <family val="2"/>
      </rPr>
      <t xml:space="preserve">：👁️</t>
    </r>
    <r>
      <rPr>
        <sz val="10"/>
        <rFont val="Arial"/>
        <family val="0"/>
        <charset val="1"/>
      </rPr>
      <t xml:space="preserve">SCP-3120</t>
    </r>
    <r>
      <rPr>
        <sz val="10"/>
        <rFont val="Noto Sans CJK SC"/>
        <family val="2"/>
      </rPr>
      <t xml:space="preserve">「異常な戦闘機」— 試験飛行</t>
    </r>
    <r>
      <rPr>
        <sz val="10"/>
        <rFont val="Arial"/>
        <family val="0"/>
        <charset val="1"/>
      </rPr>
      <t xml:space="preserve">9</t>
    </r>
    <r>
      <rPr>
        <sz val="10"/>
        <rFont val="Noto Sans CJK SC"/>
        <family val="2"/>
      </rPr>
      <t xml:space="preserve">回、操縦席から帰還した隊員は</t>
    </r>
    <r>
      <rPr>
        <sz val="10"/>
        <rFont val="Arial"/>
        <family val="0"/>
        <charset val="1"/>
      </rPr>
      <t xml:space="preserve">1</t>
    </r>
    <r>
      <rPr>
        <sz val="10"/>
        <rFont val="Noto Sans CJK SC"/>
        <family val="2"/>
      </rPr>
      <t xml:space="preserve">名だった【ショート】</t>
    </r>
  </si>
  <si>
    <r>
      <rPr>
        <sz val="10"/>
        <rFont val="Noto Sans CJK SC"/>
        <family val="2"/>
      </rPr>
      <t xml:space="preserve">触れた全員が笑う粘体、なぜ</t>
    </r>
    <r>
      <rPr>
        <sz val="10"/>
        <rFont val="Arial"/>
        <family val="0"/>
        <charset val="1"/>
      </rPr>
      <t xml:space="preserve">Safe</t>
    </r>
    <r>
      <rPr>
        <sz val="10"/>
        <rFont val="Noto Sans CJK SC"/>
        <family val="2"/>
      </rPr>
      <t xml:space="preserve">なのか？【ショート】</t>
    </r>
  </si>
  <si>
    <r>
      <rPr>
        <sz val="10"/>
        <rFont val="Noto Sans CJK SC"/>
        <family val="2"/>
      </rPr>
      <t xml:space="preserve">一口</t>
    </r>
    <r>
      <rPr>
        <sz val="10"/>
        <rFont val="Arial"/>
        <family val="0"/>
        <charset val="1"/>
      </rPr>
      <t xml:space="preserve">SCP #93</t>
    </r>
    <r>
      <rPr>
        <sz val="10"/>
        <rFont val="Noto Sans CJK SC"/>
        <family val="2"/>
      </rPr>
      <t xml:space="preserve">：⚠️</t>
    </r>
    <r>
      <rPr>
        <sz val="10"/>
        <rFont val="Arial"/>
        <family val="0"/>
        <charset val="1"/>
      </rPr>
      <t xml:space="preserve">SCP-1689</t>
    </r>
    <r>
      <rPr>
        <sz val="10"/>
        <rFont val="Noto Sans CJK SC"/>
        <family val="2"/>
      </rPr>
      <t xml:space="preserve">「黒いジャガイモ」— 摂取実験</t>
    </r>
    <r>
      <rPr>
        <sz val="10"/>
        <rFont val="Arial"/>
        <family val="0"/>
        <charset val="1"/>
      </rPr>
      <t xml:space="preserve">8</t>
    </r>
    <r>
      <rPr>
        <sz val="10"/>
        <rFont val="Noto Sans CJK SC"/>
        <family val="2"/>
      </rPr>
      <t xml:space="preserve">件、帰還率</t>
    </r>
    <r>
      <rPr>
        <sz val="10"/>
        <rFont val="Arial"/>
        <family val="0"/>
        <charset val="1"/>
      </rPr>
      <t xml:space="preserve">0%</t>
    </r>
    <r>
      <rPr>
        <sz val="10"/>
        <rFont val="Noto Sans CJK SC"/>
        <family val="2"/>
      </rPr>
      <t xml:space="preserve">だった【ショート】</t>
    </r>
  </si>
  <si>
    <t xml:space="preserve">ぬらりひょんの正体が怖すぎる — なぜあなたの家に勝手に上がるのか【ショート】</t>
  </si>
  <si>
    <r>
      <rPr>
        <sz val="10"/>
        <rFont val="Arial"/>
        <family val="0"/>
        <charset val="1"/>
      </rPr>
      <t xml:space="preserve">3</t>
    </r>
    <r>
      <rPr>
        <sz val="10"/>
        <rFont val="Noto Sans CJK SC"/>
        <family val="2"/>
      </rPr>
      <t xml:space="preserve">秒で消える？天狗と山伏、神隠しの本当の理由【ショート】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</si>
  <si>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#7</t>
    </r>
    <r>
      <rPr>
        <sz val="10"/>
        <rFont val="Noto Sans CJK SC"/>
        <family val="2"/>
      </rPr>
      <t xml:space="preserve">：😰かまいたちの元ネタが怖すぎる — あなたが</t>
    </r>
    <r>
      <rPr>
        <sz val="10"/>
        <rFont val="Arial"/>
        <family val="0"/>
        <charset val="1"/>
      </rPr>
      <t xml:space="preserve">3</t>
    </r>
    <r>
      <rPr>
        <sz val="10"/>
        <rFont val="Noto Sans CJK SC"/>
        <family val="2"/>
      </rPr>
      <t xml:space="preserve">秒で傷つく理由は？【ショート】</t>
    </r>
  </si>
  <si>
    <r>
      <rPr>
        <sz val="10"/>
        <rFont val="Noto Sans CJK SC"/>
        <family val="2"/>
      </rPr>
      <t xml:space="preserve">雪女が</t>
    </r>
    <r>
      <rPr>
        <sz val="10"/>
        <rFont val="Arial"/>
        <family val="0"/>
        <charset val="1"/>
      </rPr>
      <t xml:space="preserve">3</t>
    </r>
    <r>
      <rPr>
        <sz val="10"/>
        <rFont val="Noto Sans CJK SC"/>
        <family val="2"/>
      </rPr>
      <t xml:space="preserve">日黙れと言う…実は誰にも言えない恐怖があった【ショート】</t>
    </r>
  </si>
  <si>
    <r>
      <rPr>
        <b val="true"/>
        <sz val="14"/>
        <color rgb="FF1F3864"/>
        <rFont val="Noto Sans CJK SC"/>
        <family val="2"/>
      </rPr>
      <t xml:space="preserve">改善アクション（本日実施済み </t>
    </r>
    <r>
      <rPr>
        <b val="true"/>
        <sz val="14"/>
        <color rgb="FF1F3864"/>
        <rFont val="Arial"/>
        <family val="0"/>
        <charset val="1"/>
      </rPr>
      <t xml:space="preserve">/ </t>
    </r>
    <r>
      <rPr>
        <b val="true"/>
        <sz val="14"/>
        <color rgb="FF1F3864"/>
        <rFont val="Noto Sans CJK SC"/>
        <family val="2"/>
      </rPr>
      <t xml:space="preserve">要対応）</t>
    </r>
  </si>
  <si>
    <r>
      <rPr>
        <i val="true"/>
        <sz val="9"/>
        <color rgb="FF666666"/>
        <rFont val="Noto Sans CJK SC"/>
        <family val="2"/>
      </rPr>
      <t xml:space="preserve">すべて </t>
    </r>
    <r>
      <rPr>
        <i val="true"/>
        <sz val="9"/>
        <color rgb="FF666666"/>
        <rFont val="Arial"/>
        <family val="0"/>
        <charset val="1"/>
      </rPr>
      <t xml:space="preserve">analytics.db </t>
    </r>
    <r>
      <rPr>
        <i val="true"/>
        <sz val="9"/>
        <color rgb="FF666666"/>
        <rFont val="Noto Sans CJK SC"/>
        <family val="2"/>
      </rPr>
      <t xml:space="preserve">の実測値に基づく。一般論・推測による変更は含まない。</t>
    </r>
  </si>
  <si>
    <t xml:space="preserve">#</t>
  </si>
  <si>
    <t xml:space="preserve">状態</t>
  </si>
  <si>
    <t xml:space="preserve">対象</t>
  </si>
  <si>
    <t xml:space="preserve">施策</t>
  </si>
  <si>
    <t xml:space="preserve">根拠となる実測値</t>
  </si>
  <si>
    <t xml:space="preserve">変更前</t>
  </si>
  <si>
    <t xml:space="preserve">変更後</t>
  </si>
  <si>
    <t xml:space="preserve">期待効果</t>
  </si>
  <si>
    <t xml:space="preserve">実施済み</t>
  </si>
  <si>
    <r>
      <rPr>
        <sz val="10"/>
        <rFont val="Noto Sans CJK SC"/>
        <family val="2"/>
      </rPr>
      <t xml:space="preserve">投稿本数を</t>
    </r>
    <r>
      <rPr>
        <sz val="10"/>
        <rFont val="Arial"/>
        <family val="0"/>
        <charset val="1"/>
      </rPr>
      <t xml:space="preserve">1→2</t>
    </r>
    <r>
      <rPr>
        <sz val="10"/>
        <rFont val="Noto Sans CJK SC"/>
        <family val="2"/>
      </rPr>
      <t xml:space="preserve">本</t>
    </r>
    <r>
      <rPr>
        <sz val="10"/>
        <rFont val="Arial"/>
        <family val="0"/>
        <charset val="1"/>
      </rPr>
      <t xml:space="preserve">/</t>
    </r>
    <r>
      <rPr>
        <sz val="10"/>
        <rFont val="Noto Sans CJK SC"/>
        <family val="2"/>
      </rPr>
      <t xml:space="preserve">日に増枠</t>
    </r>
  </si>
  <si>
    <r>
      <rPr>
        <sz val="10"/>
        <rFont val="Arial"/>
        <family val="0"/>
        <charset val="1"/>
      </rPr>
      <t xml:space="preserve">1</t>
    </r>
    <r>
      <rPr>
        <sz val="10"/>
        <rFont val="Noto Sans CJK SC"/>
        <family val="2"/>
      </rPr>
      <t xml:space="preserve">本あたり登録者</t>
    </r>
    <r>
      <rPr>
        <sz val="10"/>
        <rFont val="Arial"/>
        <family val="0"/>
        <charset val="1"/>
      </rPr>
      <t xml:space="preserve">0.647</t>
    </r>
    <r>
      <rPr>
        <sz val="10"/>
        <rFont val="Noto Sans CJK SC"/>
        <family val="2"/>
      </rPr>
      <t xml:space="preserve">人</t>
    </r>
    <r>
      <rPr>
        <sz val="10"/>
        <rFont val="Arial"/>
        <family val="0"/>
        <charset val="1"/>
      </rPr>
      <t xml:space="preserve">=1</t>
    </r>
    <r>
      <rPr>
        <sz val="10"/>
        <rFont val="Noto Sans CJK SC"/>
        <family val="2"/>
      </rPr>
      <t xml:space="preserve">位（</t>
    </r>
    <r>
      <rPr>
        <sz val="10"/>
        <rFont val="Arial"/>
        <family val="0"/>
        <charset val="1"/>
      </rPr>
      <t xml:space="preserve">2</t>
    </r>
    <r>
      <rPr>
        <sz val="10"/>
        <rFont val="Noto Sans CJK SC"/>
        <family val="2"/>
      </rPr>
      <t xml:space="preserve">位の</t>
    </r>
    <r>
      <rPr>
        <sz val="10"/>
        <rFont val="Arial"/>
        <family val="0"/>
        <charset val="1"/>
      </rPr>
      <t xml:space="preserve">1.29</t>
    </r>
    <r>
      <rPr>
        <sz val="10"/>
        <rFont val="Noto Sans CJK SC"/>
        <family val="2"/>
      </rPr>
      <t xml:space="preserve">倍）。</t>
    </r>
    <r>
      <rPr>
        <sz val="10"/>
        <rFont val="Arial"/>
        <family val="0"/>
        <charset val="1"/>
      </rPr>
      <t xml:space="preserve">1000</t>
    </r>
    <r>
      <rPr>
        <sz val="10"/>
        <rFont val="Noto Sans CJK SC"/>
        <family val="2"/>
      </rPr>
      <t xml:space="preserve">再生あたり</t>
    </r>
    <r>
      <rPr>
        <sz val="10"/>
        <rFont val="Arial"/>
        <family val="0"/>
        <charset val="1"/>
      </rPr>
      <t xml:space="preserve">0.845</t>
    </r>
    <r>
      <rPr>
        <sz val="10"/>
        <rFont val="Noto Sans CJK SC"/>
        <family val="2"/>
      </rPr>
      <t xml:space="preserve">人</t>
    </r>
    <r>
      <rPr>
        <sz val="10"/>
        <rFont val="Arial"/>
        <family val="0"/>
        <charset val="1"/>
      </rPr>
      <t xml:space="preserve">=2</t>
    </r>
    <r>
      <rPr>
        <sz val="10"/>
        <rFont val="Noto Sans CJK SC"/>
        <family val="2"/>
      </rPr>
      <t xml:space="preserve">位の</t>
    </r>
    <r>
      <rPr>
        <sz val="10"/>
        <rFont val="Arial"/>
        <family val="0"/>
        <charset val="1"/>
      </rPr>
      <t xml:space="preserve">2.52</t>
    </r>
    <r>
      <rPr>
        <sz val="10"/>
        <rFont val="Noto Sans CJK SC"/>
        <family val="2"/>
      </rPr>
      <t xml:space="preserve">倍。</t>
    </r>
    <r>
      <rPr>
        <sz val="10"/>
        <rFont val="Arial"/>
        <family val="0"/>
        <charset val="1"/>
      </rPr>
      <t xml:space="preserve">30</t>
    </r>
    <r>
      <rPr>
        <sz val="10"/>
        <rFont val="Noto Sans CJK SC"/>
        <family val="2"/>
      </rPr>
      <t xml:space="preserve">日純増</t>
    </r>
    <r>
      <rPr>
        <sz val="10"/>
        <rFont val="Arial"/>
        <family val="0"/>
        <charset val="1"/>
      </rPr>
      <t xml:space="preserve">37</t>
    </r>
    <r>
      <rPr>
        <sz val="10"/>
        <rFont val="Noto Sans CJK SC"/>
        <family val="2"/>
      </rPr>
      <t xml:space="preserve">人は他</t>
    </r>
    <r>
      <rPr>
        <sz val="10"/>
        <rFont val="Arial"/>
        <family val="0"/>
        <charset val="1"/>
      </rPr>
      <t xml:space="preserve">4ch</t>
    </r>
    <r>
      <rPr>
        <sz val="10"/>
        <rFont val="Noto Sans CJK SC"/>
        <family val="2"/>
      </rPr>
      <t xml:space="preserve">合計</t>
    </r>
    <r>
      <rPr>
        <sz val="10"/>
        <rFont val="Arial"/>
        <family val="0"/>
        <charset val="1"/>
      </rPr>
      <t xml:space="preserve">32</t>
    </r>
    <r>
      <rPr>
        <sz val="10"/>
        <rFont val="Noto Sans CJK SC"/>
        <family val="2"/>
      </rPr>
      <t xml:space="preserve">人を上回る</t>
    </r>
  </si>
  <si>
    <r>
      <rPr>
        <sz val="10"/>
        <rFont val="Noto Sans CJK SC"/>
        <family val="2"/>
      </rPr>
      <t xml:space="preserve">平日</t>
    </r>
    <r>
      <rPr>
        <sz val="10"/>
        <rFont val="Arial"/>
        <family val="0"/>
        <charset val="1"/>
      </rPr>
      <t xml:space="preserve">1</t>
    </r>
    <r>
      <rPr>
        <sz val="10"/>
        <rFont val="Noto Sans CJK SC"/>
        <family val="2"/>
      </rPr>
      <t xml:space="preserve">枠 </t>
    </r>
    <r>
      <rPr>
        <sz val="10"/>
        <rFont val="Arial"/>
        <family val="0"/>
        <charset val="1"/>
      </rPr>
      <t xml:space="preserve">(19:00)</t>
    </r>
  </si>
  <si>
    <r>
      <rPr>
        <sz val="10"/>
        <rFont val="Noto Sans CJK SC"/>
        <family val="2"/>
      </rPr>
      <t xml:space="preserve">平日</t>
    </r>
    <r>
      <rPr>
        <sz val="10"/>
        <rFont val="Arial"/>
        <family val="0"/>
        <charset val="1"/>
      </rPr>
      <t xml:space="preserve">2</t>
    </r>
    <r>
      <rPr>
        <sz val="10"/>
        <rFont val="Noto Sans CJK SC"/>
        <family val="2"/>
      </rPr>
      <t xml:space="preserve">枠 </t>
    </r>
    <r>
      <rPr>
        <sz val="10"/>
        <rFont val="Arial"/>
        <family val="0"/>
        <charset val="1"/>
      </rPr>
      <t xml:space="preserve">(09:00 / 19:00)</t>
    </r>
  </si>
  <si>
    <r>
      <rPr>
        <sz val="10"/>
        <rFont val="Noto Sans CJK SC"/>
        <family val="2"/>
      </rPr>
      <t xml:space="preserve">登録者純増 </t>
    </r>
    <r>
      <rPr>
        <sz val="10"/>
        <rFont val="Arial"/>
        <family val="0"/>
        <charset val="1"/>
      </rPr>
      <t xml:space="preserve">+</t>
    </r>
    <r>
      <rPr>
        <sz val="10"/>
        <rFont val="Noto Sans CJK SC"/>
        <family val="2"/>
      </rPr>
      <t xml:space="preserve">約</t>
    </r>
    <r>
      <rPr>
        <sz val="10"/>
        <rFont val="Arial"/>
        <family val="0"/>
        <charset val="1"/>
      </rPr>
      <t xml:space="preserve">13</t>
    </r>
    <r>
      <rPr>
        <sz val="10"/>
        <rFont val="Noto Sans CJK SC"/>
        <family val="2"/>
      </rPr>
      <t xml:space="preserve">人</t>
    </r>
    <r>
      <rPr>
        <sz val="10"/>
        <rFont val="Arial"/>
        <family val="0"/>
        <charset val="1"/>
      </rPr>
      <t xml:space="preserve">/</t>
    </r>
    <r>
      <rPr>
        <sz val="10"/>
        <rFont val="Noto Sans CJK SC"/>
        <family val="2"/>
      </rPr>
      <t xml:space="preserve">月</t>
    </r>
  </si>
  <si>
    <r>
      <rPr>
        <sz val="10"/>
        <rFont val="Noto Sans CJK SC"/>
        <family val="2"/>
      </rPr>
      <t xml:space="preserve">投稿本数を</t>
    </r>
    <r>
      <rPr>
        <sz val="10"/>
        <rFont val="Arial"/>
        <family val="0"/>
        <charset val="1"/>
      </rPr>
      <t xml:space="preserve">2→1</t>
    </r>
    <r>
      <rPr>
        <sz val="10"/>
        <rFont val="Noto Sans CJK SC"/>
        <family val="2"/>
      </rPr>
      <t xml:space="preserve">本</t>
    </r>
    <r>
      <rPr>
        <sz val="10"/>
        <rFont val="Arial"/>
        <family val="0"/>
        <charset val="1"/>
      </rPr>
      <t xml:space="preserve">/</t>
    </r>
    <r>
      <rPr>
        <sz val="10"/>
        <rFont val="Noto Sans CJK SC"/>
        <family val="2"/>
      </rPr>
      <t xml:space="preserve">日に減枠</t>
    </r>
  </si>
  <si>
    <r>
      <rPr>
        <sz val="10"/>
        <rFont val="Arial"/>
        <family val="0"/>
        <charset val="1"/>
      </rPr>
      <t xml:space="preserve">1</t>
    </r>
    <r>
      <rPr>
        <sz val="10"/>
        <rFont val="Noto Sans CJK SC"/>
        <family val="2"/>
      </rPr>
      <t xml:space="preserve">本あたり登録者</t>
    </r>
    <r>
      <rPr>
        <sz val="10"/>
        <rFont val="Arial"/>
        <family val="0"/>
        <charset val="1"/>
      </rPr>
      <t xml:space="preserve">0.200</t>
    </r>
    <r>
      <rPr>
        <sz val="10"/>
        <rFont val="Noto Sans CJK SC"/>
        <family val="2"/>
      </rPr>
      <t xml:space="preserve">人</t>
    </r>
    <r>
      <rPr>
        <sz val="10"/>
        <rFont val="Arial"/>
        <family val="0"/>
        <charset val="1"/>
      </rPr>
      <t xml:space="preserve">=</t>
    </r>
    <r>
      <rPr>
        <sz val="10"/>
        <rFont val="Noto Sans CJK SC"/>
        <family val="2"/>
      </rPr>
      <t xml:space="preserve">最下位。</t>
    </r>
    <r>
      <rPr>
        <sz val="10"/>
        <rFont val="Arial"/>
        <family val="0"/>
        <charset val="1"/>
      </rPr>
      <t xml:space="preserve">30</t>
    </r>
    <r>
      <rPr>
        <sz val="10"/>
        <rFont val="Noto Sans CJK SC"/>
        <family val="2"/>
      </rPr>
      <t xml:space="preserve">日純増</t>
    </r>
    <r>
      <rPr>
        <sz val="10"/>
        <rFont val="Arial"/>
        <family val="0"/>
        <charset val="1"/>
      </rPr>
      <t xml:space="preserve">4</t>
    </r>
    <r>
      <rPr>
        <sz val="10"/>
        <rFont val="Noto Sans CJK SC"/>
        <family val="2"/>
      </rPr>
      <t xml:space="preserve">人。維持率</t>
    </r>
    <r>
      <rPr>
        <sz val="10"/>
        <rFont val="Arial"/>
        <family val="0"/>
        <charset val="1"/>
      </rPr>
      <t xml:space="preserve">64%</t>
    </r>
    <r>
      <rPr>
        <sz val="10"/>
        <rFont val="Noto Sans CJK SC"/>
        <family val="2"/>
      </rPr>
      <t xml:space="preserve">と内容は見られているが登録に繋がらない</t>
    </r>
  </si>
  <si>
    <r>
      <rPr>
        <sz val="10"/>
        <rFont val="Noto Sans CJK SC"/>
        <family val="2"/>
      </rPr>
      <t xml:space="preserve">平日</t>
    </r>
    <r>
      <rPr>
        <sz val="10"/>
        <rFont val="Arial"/>
        <family val="0"/>
        <charset val="1"/>
      </rPr>
      <t xml:space="preserve">2</t>
    </r>
    <r>
      <rPr>
        <sz val="10"/>
        <rFont val="Noto Sans CJK SC"/>
        <family val="2"/>
      </rPr>
      <t xml:space="preserve">枠 </t>
    </r>
    <r>
      <rPr>
        <sz val="10"/>
        <rFont val="Arial"/>
        <family val="0"/>
        <charset val="1"/>
      </rPr>
      <t xml:space="preserve">(17:15/19:15)</t>
    </r>
  </si>
  <si>
    <r>
      <rPr>
        <sz val="10"/>
        <rFont val="Noto Sans CJK SC"/>
        <family val="2"/>
      </rPr>
      <t xml:space="preserve">平日</t>
    </r>
    <r>
      <rPr>
        <sz val="10"/>
        <rFont val="Arial"/>
        <family val="0"/>
        <charset val="1"/>
      </rPr>
      <t xml:space="preserve">1</t>
    </r>
    <r>
      <rPr>
        <sz val="10"/>
        <rFont val="Noto Sans CJK SC"/>
        <family val="2"/>
      </rPr>
      <t xml:space="preserve">枠 </t>
    </r>
    <r>
      <rPr>
        <sz val="10"/>
        <rFont val="Arial"/>
        <family val="0"/>
        <charset val="1"/>
      </rPr>
      <t xml:space="preserve">(18:00)</t>
    </r>
  </si>
  <si>
    <r>
      <rPr>
        <sz val="10"/>
        <rFont val="Noto Sans CJK SC"/>
        <family val="2"/>
      </rPr>
      <t xml:space="preserve">制作リソースを</t>
    </r>
    <r>
      <rPr>
        <sz val="10"/>
        <rFont val="Arial"/>
        <family val="0"/>
        <charset val="1"/>
      </rPr>
      <t xml:space="preserve">scp-lab</t>
    </r>
    <r>
      <rPr>
        <sz val="10"/>
        <rFont val="Noto Sans CJK SC"/>
        <family val="2"/>
      </rPr>
      <t xml:space="preserve">へ再配分</t>
    </r>
  </si>
  <si>
    <r>
      <rPr>
        <sz val="10"/>
        <rFont val="Noto Sans CJK SC"/>
        <family val="2"/>
      </rPr>
      <t xml:space="preserve">投稿時刻を</t>
    </r>
    <r>
      <rPr>
        <sz val="10"/>
        <rFont val="Arial"/>
        <family val="0"/>
        <charset val="1"/>
      </rPr>
      <t xml:space="preserve">18:30→19:00</t>
    </r>
  </si>
  <si>
    <r>
      <rPr>
        <sz val="10"/>
        <rFont val="Arial"/>
        <family val="0"/>
        <charset val="1"/>
      </rPr>
      <t xml:space="preserve">posting_optimizer </t>
    </r>
    <r>
      <rPr>
        <sz val="10"/>
        <rFont val="Noto Sans CJK SC"/>
        <family val="2"/>
      </rPr>
      <t xml:space="preserve">実測で</t>
    </r>
    <r>
      <rPr>
        <sz val="10"/>
        <rFont val="Arial"/>
        <family val="0"/>
        <charset val="1"/>
      </rPr>
      <t xml:space="preserve">19:00</t>
    </r>
    <r>
      <rPr>
        <sz val="10"/>
        <rFont val="Noto Sans CJK SC"/>
        <family val="2"/>
      </rPr>
      <t xml:space="preserve">枠が平均</t>
    </r>
    <r>
      <rPr>
        <sz val="10"/>
        <rFont val="Arial"/>
        <family val="0"/>
        <charset val="1"/>
      </rPr>
      <t xml:space="preserve">1,872</t>
    </r>
    <r>
      <rPr>
        <sz val="10"/>
        <rFont val="Noto Sans CJK SC"/>
        <family val="2"/>
      </rPr>
      <t xml:space="preserve">再生・</t>
    </r>
    <r>
      <rPr>
        <sz val="10"/>
        <rFont val="Arial"/>
        <family val="0"/>
        <charset val="1"/>
      </rPr>
      <t xml:space="preserve">+48.9%</t>
    </r>
    <r>
      <rPr>
        <sz val="10"/>
        <rFont val="Noto Sans CJK SC"/>
        <family val="2"/>
      </rPr>
      <t xml:space="preserve">（全</t>
    </r>
    <r>
      <rPr>
        <sz val="10"/>
        <rFont val="Arial"/>
        <family val="0"/>
        <charset val="1"/>
      </rPr>
      <t xml:space="preserve">ch</t>
    </r>
    <r>
      <rPr>
        <sz val="10"/>
        <rFont val="Noto Sans CJK SC"/>
        <family val="2"/>
      </rPr>
      <t xml:space="preserve">中最大のブースト）</t>
    </r>
  </si>
  <si>
    <t xml:space="preserve">18:30</t>
  </si>
  <si>
    <t xml:space="preserve">19:00</t>
  </si>
  <si>
    <r>
      <rPr>
        <sz val="10"/>
        <rFont val="Noto Sans CJK SC"/>
        <family val="2"/>
      </rPr>
      <t xml:space="preserve">平均再生 </t>
    </r>
    <r>
      <rPr>
        <sz val="10"/>
        <rFont val="Arial"/>
        <family val="0"/>
        <charset val="1"/>
      </rPr>
      <t xml:space="preserve">+</t>
    </r>
    <r>
      <rPr>
        <sz val="10"/>
        <rFont val="Noto Sans CJK SC"/>
        <family val="2"/>
      </rPr>
      <t xml:space="preserve">最大</t>
    </r>
    <r>
      <rPr>
        <sz val="10"/>
        <rFont val="Arial"/>
        <family val="0"/>
        <charset val="1"/>
      </rPr>
      <t xml:space="preserve">48.9%</t>
    </r>
  </si>
  <si>
    <r>
      <rPr>
        <sz val="10"/>
        <rFont val="Noto Sans CJK SC"/>
        <family val="2"/>
      </rPr>
      <t xml:space="preserve">投稿時刻を</t>
    </r>
    <r>
      <rPr>
        <sz val="10"/>
        <rFont val="Arial"/>
        <family val="0"/>
        <charset val="1"/>
      </rPr>
      <t xml:space="preserve">17:30→18:00</t>
    </r>
  </si>
  <si>
    <r>
      <rPr>
        <sz val="10"/>
        <rFont val="Arial"/>
        <family val="0"/>
        <charset val="1"/>
      </rPr>
      <t xml:space="preserve">18:00</t>
    </r>
    <r>
      <rPr>
        <sz val="10"/>
        <rFont val="Noto Sans CJK SC"/>
        <family val="2"/>
      </rPr>
      <t xml:space="preserve">枠が平均</t>
    </r>
    <r>
      <rPr>
        <sz val="10"/>
        <rFont val="Arial"/>
        <family val="0"/>
        <charset val="1"/>
      </rPr>
      <t xml:space="preserve">1,665</t>
    </r>
    <r>
      <rPr>
        <sz val="10"/>
        <rFont val="Noto Sans CJK SC"/>
        <family val="2"/>
      </rPr>
      <t xml:space="preserve">再生・</t>
    </r>
    <r>
      <rPr>
        <sz val="10"/>
        <rFont val="Arial"/>
        <family val="0"/>
        <charset val="1"/>
      </rPr>
      <t xml:space="preserve">+30.3%</t>
    </r>
  </si>
  <si>
    <t xml:space="preserve">17:30</t>
  </si>
  <si>
    <t xml:space="preserve">18:00</t>
  </si>
  <si>
    <r>
      <rPr>
        <sz val="10"/>
        <rFont val="Noto Sans CJK SC"/>
        <family val="2"/>
      </rPr>
      <t xml:space="preserve">平均再生 </t>
    </r>
    <r>
      <rPr>
        <sz val="10"/>
        <rFont val="Arial"/>
        <family val="0"/>
        <charset val="1"/>
      </rPr>
      <t xml:space="preserve">+</t>
    </r>
    <r>
      <rPr>
        <sz val="10"/>
        <rFont val="Noto Sans CJK SC"/>
        <family val="2"/>
      </rPr>
      <t xml:space="preserve">最大</t>
    </r>
    <r>
      <rPr>
        <sz val="10"/>
        <rFont val="Arial"/>
        <family val="0"/>
        <charset val="1"/>
      </rPr>
      <t xml:space="preserve">30.3%</t>
    </r>
  </si>
  <si>
    <r>
      <rPr>
        <sz val="10"/>
        <rFont val="Noto Sans CJK SC"/>
        <family val="2"/>
      </rPr>
      <t xml:space="preserve">投稿時刻を</t>
    </r>
    <r>
      <rPr>
        <sz val="10"/>
        <rFont val="Arial"/>
        <family val="0"/>
        <charset val="1"/>
      </rPr>
      <t xml:space="preserve">18:00→17:00</t>
    </r>
  </si>
  <si>
    <r>
      <rPr>
        <sz val="10"/>
        <rFont val="Arial"/>
        <family val="0"/>
        <charset val="1"/>
      </rPr>
      <t xml:space="preserve">17:00</t>
    </r>
    <r>
      <rPr>
        <sz val="10"/>
        <rFont val="Noto Sans CJK SC"/>
        <family val="2"/>
      </rPr>
      <t xml:space="preserve">枠が平均</t>
    </r>
    <r>
      <rPr>
        <sz val="10"/>
        <rFont val="Arial"/>
        <family val="0"/>
        <charset val="1"/>
      </rPr>
      <t xml:space="preserve">986</t>
    </r>
    <r>
      <rPr>
        <sz val="10"/>
        <rFont val="Noto Sans CJK SC"/>
        <family val="2"/>
      </rPr>
      <t xml:space="preserve">再生・</t>
    </r>
    <r>
      <rPr>
        <sz val="10"/>
        <rFont val="Arial"/>
        <family val="0"/>
        <charset val="1"/>
      </rPr>
      <t xml:space="preserve">+26.2%</t>
    </r>
  </si>
  <si>
    <t xml:space="preserve">17:00</t>
  </si>
  <si>
    <r>
      <rPr>
        <sz val="10"/>
        <rFont val="Noto Sans CJK SC"/>
        <family val="2"/>
      </rPr>
      <t xml:space="preserve">平均再生 </t>
    </r>
    <r>
      <rPr>
        <sz val="10"/>
        <rFont val="Arial"/>
        <family val="0"/>
        <charset val="1"/>
      </rPr>
      <t xml:space="preserve">+</t>
    </r>
    <r>
      <rPr>
        <sz val="10"/>
        <rFont val="Noto Sans CJK SC"/>
        <family val="2"/>
      </rPr>
      <t xml:space="preserve">最大</t>
    </r>
    <r>
      <rPr>
        <sz val="10"/>
        <rFont val="Arial"/>
        <family val="0"/>
        <charset val="1"/>
      </rPr>
      <t xml:space="preserve">26.2%</t>
    </r>
  </si>
  <si>
    <r>
      <rPr>
        <sz val="10"/>
        <rFont val="Noto Sans CJK SC"/>
        <family val="2"/>
      </rPr>
      <t xml:space="preserve">投稿時刻を</t>
    </r>
    <r>
      <rPr>
        <sz val="10"/>
        <rFont val="Arial"/>
        <family val="0"/>
        <charset val="1"/>
      </rPr>
      <t xml:space="preserve">17:15→18:00</t>
    </r>
  </si>
  <si>
    <r>
      <rPr>
        <sz val="10"/>
        <rFont val="Arial"/>
        <family val="0"/>
        <charset val="1"/>
      </rPr>
      <t xml:space="preserve">18:00</t>
    </r>
    <r>
      <rPr>
        <sz val="10"/>
        <rFont val="Noto Sans CJK SC"/>
        <family val="2"/>
      </rPr>
      <t xml:space="preserve">枠が平均</t>
    </r>
    <r>
      <rPr>
        <sz val="10"/>
        <rFont val="Arial"/>
        <family val="0"/>
        <charset val="1"/>
      </rPr>
      <t xml:space="preserve">938</t>
    </r>
    <r>
      <rPr>
        <sz val="10"/>
        <rFont val="Noto Sans CJK SC"/>
        <family val="2"/>
      </rPr>
      <t xml:space="preserve">再生・</t>
    </r>
    <r>
      <rPr>
        <sz val="10"/>
        <rFont val="Arial"/>
        <family val="0"/>
        <charset val="1"/>
      </rPr>
      <t xml:space="preserve">+26.3%</t>
    </r>
  </si>
  <si>
    <t xml:space="preserve">17:15</t>
  </si>
  <si>
    <r>
      <rPr>
        <sz val="10"/>
        <rFont val="Noto Sans CJK SC"/>
        <family val="2"/>
      </rPr>
      <t xml:space="preserve">平均再生 </t>
    </r>
    <r>
      <rPr>
        <sz val="10"/>
        <rFont val="Arial"/>
        <family val="0"/>
        <charset val="1"/>
      </rPr>
      <t xml:space="preserve">+</t>
    </r>
    <r>
      <rPr>
        <sz val="10"/>
        <rFont val="Noto Sans CJK SC"/>
        <family val="2"/>
      </rPr>
      <t xml:space="preserve">最大</t>
    </r>
    <r>
      <rPr>
        <sz val="10"/>
        <rFont val="Arial"/>
        <family val="0"/>
        <charset val="1"/>
      </rPr>
      <t xml:space="preserve">26.3%</t>
    </r>
  </si>
  <si>
    <r>
      <rPr>
        <sz val="10"/>
        <rFont val="Noto Sans CJK SC"/>
        <family val="2"/>
      </rPr>
      <t xml:space="preserve">主枠を</t>
    </r>
    <r>
      <rPr>
        <sz val="10"/>
        <rFont val="Arial"/>
        <family val="0"/>
        <charset val="1"/>
      </rPr>
      <t xml:space="preserve">19:00→09:00</t>
    </r>
    <r>
      <rPr>
        <sz val="10"/>
        <rFont val="Noto Sans CJK SC"/>
        <family val="2"/>
      </rPr>
      <t xml:space="preserve">へ移動</t>
    </r>
  </si>
  <si>
    <r>
      <rPr>
        <sz val="10"/>
        <rFont val="Arial"/>
        <family val="0"/>
        <charset val="1"/>
      </rPr>
      <t xml:space="preserve">09:00</t>
    </r>
    <r>
      <rPr>
        <sz val="10"/>
        <rFont val="Noto Sans CJK SC"/>
        <family val="2"/>
      </rPr>
      <t xml:space="preserve">枠が平均</t>
    </r>
    <r>
      <rPr>
        <sz val="10"/>
        <rFont val="Arial"/>
        <family val="0"/>
        <charset val="1"/>
      </rPr>
      <t xml:space="preserve">919</t>
    </r>
    <r>
      <rPr>
        <sz val="10"/>
        <rFont val="Noto Sans CJK SC"/>
        <family val="2"/>
      </rPr>
      <t xml:space="preserve">再生・</t>
    </r>
    <r>
      <rPr>
        <sz val="10"/>
        <rFont val="Arial"/>
        <family val="0"/>
        <charset val="1"/>
      </rPr>
      <t xml:space="preserve">+20.0%</t>
    </r>
    <r>
      <rPr>
        <sz val="10"/>
        <rFont val="Noto Sans CJK SC"/>
        <family val="2"/>
      </rPr>
      <t xml:space="preserve">。朝枠がこのチャンネルだけ有効</t>
    </r>
  </si>
  <si>
    <r>
      <rPr>
        <sz val="10"/>
        <rFont val="Arial"/>
        <family val="0"/>
        <charset val="1"/>
      </rPr>
      <t xml:space="preserve">09:00 (+19:00</t>
    </r>
    <r>
      <rPr>
        <sz val="10"/>
        <rFont val="Noto Sans CJK SC"/>
        <family val="2"/>
      </rPr>
      <t xml:space="preserve">を追加</t>
    </r>
    <r>
      <rPr>
        <sz val="10"/>
        <rFont val="Arial"/>
        <family val="0"/>
        <charset val="1"/>
      </rPr>
      <t xml:space="preserve">)</t>
    </r>
  </si>
  <si>
    <r>
      <rPr>
        <sz val="10"/>
        <rFont val="Noto Sans CJK SC"/>
        <family val="2"/>
      </rPr>
      <t xml:space="preserve">平均再生 </t>
    </r>
    <r>
      <rPr>
        <sz val="10"/>
        <rFont val="Arial"/>
        <family val="0"/>
        <charset val="1"/>
      </rPr>
      <t xml:space="preserve">+</t>
    </r>
    <r>
      <rPr>
        <sz val="10"/>
        <rFont val="Noto Sans CJK SC"/>
        <family val="2"/>
      </rPr>
      <t xml:space="preserve">最大</t>
    </r>
    <r>
      <rPr>
        <sz val="10"/>
        <rFont val="Arial"/>
        <family val="0"/>
        <charset val="1"/>
      </rPr>
      <t xml:space="preserve">20.0%</t>
    </r>
  </si>
  <si>
    <r>
      <rPr>
        <sz val="10"/>
        <rFont val="Noto Sans CJK SC"/>
        <family val="2"/>
      </rPr>
      <t xml:space="preserve">台本を約</t>
    </r>
    <r>
      <rPr>
        <sz val="10"/>
        <rFont val="Arial"/>
        <family val="0"/>
        <charset val="1"/>
      </rPr>
      <t xml:space="preserve">22</t>
    </r>
    <r>
      <rPr>
        <sz val="10"/>
        <rFont val="Noto Sans CJK SC"/>
        <family val="2"/>
      </rPr>
      <t xml:space="preserve">秒相当へ短縮（総文字数</t>
    </r>
    <r>
      <rPr>
        <sz val="10"/>
        <rFont val="Arial"/>
        <family val="0"/>
        <charset val="1"/>
      </rPr>
      <t xml:space="preserve">270-340→230-290</t>
    </r>
    <r>
      <rPr>
        <sz val="10"/>
        <rFont val="Noto Sans CJK SC"/>
        <family val="2"/>
      </rPr>
      <t xml:space="preserve">）</t>
    </r>
  </si>
  <si>
    <r>
      <rPr>
        <sz val="10"/>
        <rFont val="Arial"/>
        <family val="0"/>
        <charset val="1"/>
      </rPr>
      <t xml:space="preserve">21.9</t>
    </r>
    <r>
      <rPr>
        <sz val="10"/>
        <rFont val="Noto Sans CJK SC"/>
        <family val="2"/>
      </rPr>
      <t xml:space="preserve">秒帯</t>
    </r>
    <r>
      <rPr>
        <sz val="10"/>
        <rFont val="Arial"/>
        <family val="0"/>
        <charset val="1"/>
      </rPr>
      <t xml:space="preserve">: </t>
    </r>
    <r>
      <rPr>
        <sz val="10"/>
        <rFont val="Noto Sans CJK SC"/>
        <family val="2"/>
      </rPr>
      <t xml:space="preserve">維持率</t>
    </r>
    <r>
      <rPr>
        <sz val="10"/>
        <rFont val="Arial"/>
        <family val="0"/>
        <charset val="1"/>
      </rPr>
      <t xml:space="preserve">53.6%</t>
    </r>
    <r>
      <rPr>
        <sz val="10"/>
        <rFont val="Noto Sans CJK SC"/>
        <family val="2"/>
      </rPr>
      <t xml:space="preserve">・平均</t>
    </r>
    <r>
      <rPr>
        <sz val="10"/>
        <rFont val="Arial"/>
        <family val="0"/>
        <charset val="1"/>
      </rPr>
      <t xml:space="preserve">845</t>
    </r>
    <r>
      <rPr>
        <sz val="10"/>
        <rFont val="Noto Sans CJK SC"/>
        <family val="2"/>
      </rPr>
      <t xml:space="preserve">再生 </t>
    </r>
    <r>
      <rPr>
        <sz val="10"/>
        <rFont val="Arial"/>
        <family val="0"/>
        <charset val="1"/>
      </rPr>
      <t xml:space="preserve">&gt; 31.5</t>
    </r>
    <r>
      <rPr>
        <sz val="10"/>
        <rFont val="Noto Sans CJK SC"/>
        <family val="2"/>
      </rPr>
      <t xml:space="preserve">秒帯</t>
    </r>
    <r>
      <rPr>
        <sz val="10"/>
        <rFont val="Arial"/>
        <family val="0"/>
        <charset val="1"/>
      </rPr>
      <t xml:space="preserve">: 51.9%</t>
    </r>
    <r>
      <rPr>
        <sz val="10"/>
        <rFont val="Noto Sans CJK SC"/>
        <family val="2"/>
      </rPr>
      <t xml:space="preserve">・</t>
    </r>
    <r>
      <rPr>
        <sz val="10"/>
        <rFont val="Arial"/>
        <family val="0"/>
        <charset val="1"/>
      </rPr>
      <t xml:space="preserve">741</t>
    </r>
    <r>
      <rPr>
        <sz val="10"/>
        <rFont val="Noto Sans CJK SC"/>
        <family val="2"/>
      </rPr>
      <t xml:space="preserve">再生</t>
    </r>
  </si>
  <si>
    <t xml:space="preserve">total_chars 270-340</t>
  </si>
  <si>
    <t xml:space="preserve">total_chars 230-290</t>
  </si>
  <si>
    <r>
      <rPr>
        <sz val="10"/>
        <rFont val="Noto Sans CJK SC"/>
        <family val="2"/>
      </rPr>
      <t xml:space="preserve">維持率 </t>
    </r>
    <r>
      <rPr>
        <sz val="10"/>
        <rFont val="Arial"/>
        <family val="0"/>
        <charset val="1"/>
      </rPr>
      <t xml:space="preserve">+1.7pt / </t>
    </r>
    <r>
      <rPr>
        <sz val="10"/>
        <rFont val="Noto Sans CJK SC"/>
        <family val="2"/>
      </rPr>
      <t xml:space="preserve">再生 </t>
    </r>
    <r>
      <rPr>
        <sz val="10"/>
        <rFont val="Arial"/>
        <family val="0"/>
        <charset val="1"/>
      </rPr>
      <t xml:space="preserve">+14%</t>
    </r>
  </si>
  <si>
    <r>
      <rPr>
        <sz val="10"/>
        <rFont val="Noto Sans CJK SC"/>
        <family val="2"/>
      </rPr>
      <t xml:space="preserve">台本を約</t>
    </r>
    <r>
      <rPr>
        <sz val="10"/>
        <rFont val="Arial"/>
        <family val="0"/>
        <charset val="1"/>
      </rPr>
      <t xml:space="preserve">25</t>
    </r>
    <r>
      <rPr>
        <sz val="10"/>
        <rFont val="Noto Sans CJK SC"/>
        <family val="2"/>
      </rPr>
      <t xml:space="preserve">秒相当へ短縮（総文字数</t>
    </r>
    <r>
      <rPr>
        <sz val="10"/>
        <rFont val="Arial"/>
        <family val="0"/>
        <charset val="1"/>
      </rPr>
      <t xml:space="preserve">280-350→240-300</t>
    </r>
    <r>
      <rPr>
        <sz val="10"/>
        <rFont val="Noto Sans CJK SC"/>
        <family val="2"/>
      </rPr>
      <t xml:space="preserve">）</t>
    </r>
  </si>
  <si>
    <r>
      <rPr>
        <sz val="10"/>
        <rFont val="Arial"/>
        <family val="0"/>
        <charset val="1"/>
      </rPr>
      <t xml:space="preserve">24.8</t>
    </r>
    <r>
      <rPr>
        <sz val="10"/>
        <rFont val="Noto Sans CJK SC"/>
        <family val="2"/>
      </rPr>
      <t xml:space="preserve">秒帯</t>
    </r>
    <r>
      <rPr>
        <sz val="10"/>
        <rFont val="Arial"/>
        <family val="0"/>
        <charset val="1"/>
      </rPr>
      <t xml:space="preserve">59.0% &gt; 32.8</t>
    </r>
    <r>
      <rPr>
        <sz val="10"/>
        <rFont val="Noto Sans CJK SC"/>
        <family val="2"/>
      </rPr>
      <t xml:space="preserve">秒帯</t>
    </r>
    <r>
      <rPr>
        <sz val="10"/>
        <rFont val="Arial"/>
        <family val="0"/>
        <charset val="1"/>
      </rPr>
      <t xml:space="preserve">52.8% &gt; 44.6</t>
    </r>
    <r>
      <rPr>
        <sz val="10"/>
        <rFont val="Noto Sans CJK SC"/>
        <family val="2"/>
      </rPr>
      <t xml:space="preserve">秒帯</t>
    </r>
    <r>
      <rPr>
        <sz val="10"/>
        <rFont val="Arial"/>
        <family val="0"/>
        <charset val="1"/>
      </rPr>
      <t xml:space="preserve">47.4%</t>
    </r>
    <r>
      <rPr>
        <sz val="10"/>
        <rFont val="Noto Sans CJK SC"/>
        <family val="2"/>
      </rPr>
      <t xml:space="preserve">。長いほど維持率が下がる単調関係</t>
    </r>
  </si>
  <si>
    <t xml:space="preserve">total_chars 280-350</t>
  </si>
  <si>
    <t xml:space="preserve">total_chars 240-300</t>
  </si>
  <si>
    <r>
      <rPr>
        <sz val="10"/>
        <rFont val="Noto Sans CJK SC"/>
        <family val="2"/>
      </rPr>
      <t xml:space="preserve">維持率 </t>
    </r>
    <r>
      <rPr>
        <sz val="10"/>
        <rFont val="Arial"/>
        <family val="0"/>
        <charset val="1"/>
      </rPr>
      <t xml:space="preserve">+6.2pt</t>
    </r>
  </si>
  <si>
    <r>
      <rPr>
        <sz val="10"/>
        <rFont val="Noto Sans CJK SC"/>
        <family val="2"/>
      </rPr>
      <t xml:space="preserve">台本を約</t>
    </r>
    <r>
      <rPr>
        <sz val="10"/>
        <rFont val="Arial"/>
        <family val="0"/>
        <charset val="1"/>
      </rPr>
      <t xml:space="preserve">34</t>
    </r>
    <r>
      <rPr>
        <sz val="10"/>
        <rFont val="Noto Sans CJK SC"/>
        <family val="2"/>
      </rPr>
      <t xml:space="preserve">秒相当へ延長（総文字数</t>
    </r>
    <r>
      <rPr>
        <sz val="10"/>
        <rFont val="Arial"/>
        <family val="0"/>
        <charset val="1"/>
      </rPr>
      <t xml:space="preserve">270-340→320-390</t>
    </r>
    <r>
      <rPr>
        <sz val="10"/>
        <rFont val="Noto Sans CJK SC"/>
        <family val="2"/>
      </rPr>
      <t xml:space="preserve">）</t>
    </r>
  </si>
  <si>
    <r>
      <rPr>
        <sz val="10"/>
        <rFont val="Arial"/>
        <family val="0"/>
        <charset val="1"/>
      </rPr>
      <t xml:space="preserve">33.9</t>
    </r>
    <r>
      <rPr>
        <sz val="10"/>
        <rFont val="Noto Sans CJK SC"/>
        <family val="2"/>
      </rPr>
      <t xml:space="preserve">秒帯</t>
    </r>
    <r>
      <rPr>
        <sz val="10"/>
        <rFont val="Arial"/>
        <family val="0"/>
        <charset val="1"/>
      </rPr>
      <t xml:space="preserve">: </t>
    </r>
    <r>
      <rPr>
        <sz val="10"/>
        <rFont val="Noto Sans CJK SC"/>
        <family val="2"/>
      </rPr>
      <t xml:space="preserve">維持率</t>
    </r>
    <r>
      <rPr>
        <sz val="10"/>
        <rFont val="Arial"/>
        <family val="0"/>
        <charset val="1"/>
      </rPr>
      <t xml:space="preserve">63.3%</t>
    </r>
    <r>
      <rPr>
        <sz val="10"/>
        <rFont val="Noto Sans CJK SC"/>
        <family val="2"/>
      </rPr>
      <t xml:space="preserve">・平均</t>
    </r>
    <r>
      <rPr>
        <sz val="10"/>
        <rFont val="Arial"/>
        <family val="0"/>
        <charset val="1"/>
      </rPr>
      <t xml:space="preserve">1,829</t>
    </r>
    <r>
      <rPr>
        <sz val="10"/>
        <rFont val="Noto Sans CJK SC"/>
        <family val="2"/>
      </rPr>
      <t xml:space="preserve">再生 </t>
    </r>
    <r>
      <rPr>
        <sz val="10"/>
        <rFont val="Arial"/>
        <family val="0"/>
        <charset val="1"/>
      </rPr>
      <t xml:space="preserve">&gt; 22.7</t>
    </r>
    <r>
      <rPr>
        <sz val="10"/>
        <rFont val="Noto Sans CJK SC"/>
        <family val="2"/>
      </rPr>
      <t xml:space="preserve">秒帯</t>
    </r>
    <r>
      <rPr>
        <sz val="10"/>
        <rFont val="Arial"/>
        <family val="0"/>
        <charset val="1"/>
      </rPr>
      <t xml:space="preserve">: 58.0%</t>
    </r>
    <r>
      <rPr>
        <sz val="10"/>
        <rFont val="Noto Sans CJK SC"/>
        <family val="2"/>
      </rPr>
      <t xml:space="preserve">・</t>
    </r>
    <r>
      <rPr>
        <sz val="10"/>
        <rFont val="Arial"/>
        <family val="0"/>
        <charset val="1"/>
      </rPr>
      <t xml:space="preserve">1,249</t>
    </r>
    <r>
      <rPr>
        <sz val="10"/>
        <rFont val="Noto Sans CJK SC"/>
        <family val="2"/>
      </rPr>
      <t xml:space="preserve">再生。他</t>
    </r>
    <r>
      <rPr>
        <sz val="10"/>
        <rFont val="Arial"/>
        <family val="0"/>
        <charset val="1"/>
      </rPr>
      <t xml:space="preserve">ch</t>
    </r>
    <r>
      <rPr>
        <sz val="10"/>
        <rFont val="Noto Sans CJK SC"/>
        <family val="2"/>
      </rPr>
      <t xml:space="preserve">と逆方向</t>
    </r>
  </si>
  <si>
    <t xml:space="preserve">total_chars 320-390</t>
  </si>
  <si>
    <r>
      <rPr>
        <sz val="10"/>
        <rFont val="Noto Sans CJK SC"/>
        <family val="2"/>
      </rPr>
      <t xml:space="preserve">維持率 </t>
    </r>
    <r>
      <rPr>
        <sz val="10"/>
        <rFont val="Arial"/>
        <family val="0"/>
        <charset val="1"/>
      </rPr>
      <t xml:space="preserve">+5.3pt / </t>
    </r>
    <r>
      <rPr>
        <sz val="10"/>
        <rFont val="Noto Sans CJK SC"/>
        <family val="2"/>
      </rPr>
      <t xml:space="preserve">再生 </t>
    </r>
    <r>
      <rPr>
        <sz val="10"/>
        <rFont val="Arial"/>
        <family val="0"/>
        <charset val="1"/>
      </rPr>
      <t xml:space="preserve">+46%</t>
    </r>
  </si>
  <si>
    <r>
      <rPr>
        <sz val="10"/>
        <rFont val="Noto Sans CJK SC"/>
        <family val="2"/>
      </rPr>
      <t xml:space="preserve">全</t>
    </r>
    <r>
      <rPr>
        <sz val="10"/>
        <rFont val="Arial"/>
        <family val="0"/>
        <charset val="1"/>
      </rPr>
      <t xml:space="preserve">5ch</t>
    </r>
  </si>
  <si>
    <r>
      <rPr>
        <sz val="10"/>
        <rFont val="Arial"/>
        <family val="0"/>
        <charset val="1"/>
      </rPr>
      <t xml:space="preserve">20%</t>
    </r>
    <r>
      <rPr>
        <sz val="10"/>
        <rFont val="Noto Sans CJK SC"/>
        <family val="2"/>
      </rPr>
      <t xml:space="preserve">地点の離脱対策ルールを </t>
    </r>
    <r>
      <rPr>
        <sz val="10"/>
        <rFont val="Arial"/>
        <family val="0"/>
        <charset val="1"/>
      </rPr>
      <t xml:space="preserve">style_rules </t>
    </r>
    <r>
      <rPr>
        <sz val="10"/>
        <rFont val="Noto Sans CJK SC"/>
        <family val="2"/>
      </rPr>
      <t xml:space="preserve">先頭に追加</t>
    </r>
  </si>
  <si>
    <r>
      <rPr>
        <sz val="10"/>
        <rFont val="Noto Sans CJK SC"/>
        <family val="2"/>
      </rPr>
      <t xml:space="preserve">保持率カーブ実測で全</t>
    </r>
    <r>
      <rPr>
        <sz val="10"/>
        <rFont val="Arial"/>
        <family val="0"/>
        <charset val="1"/>
      </rPr>
      <t xml:space="preserve">ch</t>
    </r>
    <r>
      <rPr>
        <sz val="10"/>
        <rFont val="Noto Sans CJK SC"/>
        <family val="2"/>
      </rPr>
      <t xml:space="preserve">が再生位置</t>
    </r>
    <r>
      <rPr>
        <sz val="10"/>
        <rFont val="Arial"/>
        <family val="0"/>
        <charset val="1"/>
      </rPr>
      <t xml:space="preserve">20%</t>
    </r>
    <r>
      <rPr>
        <sz val="10"/>
        <rFont val="Noto Sans CJK SC"/>
        <family val="2"/>
      </rPr>
      <t xml:space="preserve">地点から </t>
    </r>
    <r>
      <rPr>
        <sz val="10"/>
        <rFont val="Arial"/>
        <family val="0"/>
        <charset val="1"/>
      </rPr>
      <t xml:space="preserve">audience_watch_ratio </t>
    </r>
    <r>
      <rPr>
        <sz val="10"/>
        <rFont val="Noto Sans CJK SC"/>
        <family val="2"/>
      </rPr>
      <t xml:space="preserve">が</t>
    </r>
    <r>
      <rPr>
        <sz val="10"/>
        <rFont val="Arial"/>
        <family val="0"/>
        <charset val="1"/>
      </rPr>
      <t xml:space="preserve">1.0</t>
    </r>
    <r>
      <rPr>
        <sz val="10"/>
        <rFont val="Noto Sans CJK SC"/>
        <family val="2"/>
      </rPr>
      <t xml:space="preserve">を割る</t>
    </r>
  </si>
  <si>
    <t xml:space="preserve">ルールなし</t>
  </si>
  <si>
    <r>
      <rPr>
        <sz val="10"/>
        <rFont val="Noto Sans CJK SC"/>
        <family val="2"/>
      </rPr>
      <t xml:space="preserve">答えの提示を</t>
    </r>
    <r>
      <rPr>
        <sz val="10"/>
        <rFont val="Arial"/>
        <family val="0"/>
        <charset val="1"/>
      </rPr>
      <t xml:space="preserve">40%</t>
    </r>
    <r>
      <rPr>
        <sz val="10"/>
        <rFont val="Noto Sans CJK SC"/>
        <family val="2"/>
      </rPr>
      <t xml:space="preserve">地点以降へ後ろ倒し</t>
    </r>
  </si>
  <si>
    <t xml:space="preserve">維持率改善</t>
  </si>
  <si>
    <t xml:space="preserve">当事者化ルールを追加（最優先）</t>
  </si>
  <si>
    <r>
      <rPr>
        <sz val="10"/>
        <rFont val="Arial"/>
        <family val="0"/>
        <charset val="1"/>
      </rPr>
      <t xml:space="preserve">30%</t>
    </r>
    <r>
      <rPr>
        <sz val="10"/>
        <rFont val="Noto Sans CJK SC"/>
        <family val="2"/>
      </rPr>
      <t xml:space="preserve">地点の残存</t>
    </r>
    <r>
      <rPr>
        <sz val="10"/>
        <rFont val="Arial"/>
        <family val="0"/>
        <charset val="1"/>
      </rPr>
      <t xml:space="preserve">0.64</t>
    </r>
    <r>
      <rPr>
        <sz val="10"/>
        <rFont val="Noto Sans CJK SC"/>
        <family val="2"/>
      </rPr>
      <t xml:space="preserve">で全</t>
    </r>
    <r>
      <rPr>
        <sz val="10"/>
        <rFont val="Arial"/>
        <family val="0"/>
        <charset val="1"/>
      </rPr>
      <t xml:space="preserve">ch</t>
    </r>
    <r>
      <rPr>
        <sz val="10"/>
        <rFont val="Noto Sans CJK SC"/>
        <family val="2"/>
      </rPr>
      <t xml:space="preserve">最下位（最良の</t>
    </r>
    <r>
      <rPr>
        <sz val="10"/>
        <rFont val="Arial"/>
        <family val="0"/>
        <charset val="1"/>
      </rPr>
      <t xml:space="preserve">pokemon-lab</t>
    </r>
    <r>
      <rPr>
        <sz val="10"/>
        <rFont val="Noto Sans CJK SC"/>
        <family val="2"/>
      </rPr>
      <t xml:space="preserve">は</t>
    </r>
    <r>
      <rPr>
        <sz val="10"/>
        <rFont val="Arial"/>
        <family val="0"/>
        <charset val="1"/>
      </rPr>
      <t xml:space="preserve">0.83</t>
    </r>
    <r>
      <rPr>
        <sz val="10"/>
        <rFont val="Noto Sans CJK SC"/>
        <family val="2"/>
      </rPr>
      <t xml:space="preserve">）</t>
    </r>
  </si>
  <si>
    <r>
      <rPr>
        <sz val="10"/>
        <rFont val="Arial"/>
        <family val="0"/>
        <charset val="1"/>
      </rPr>
      <t xml:space="preserve">3</t>
    </r>
    <r>
      <rPr>
        <sz val="10"/>
        <rFont val="Noto Sans CJK SC"/>
        <family val="2"/>
      </rPr>
      <t xml:space="preserve">行目までに視聴者自身へ危害が及ぶ形にする</t>
    </r>
  </si>
  <si>
    <t xml:space="preserve">「怖」系タイトルを優先、「なぜ」始まりを禁止</t>
  </si>
  <si>
    <r>
      <rPr>
        <sz val="10"/>
        <rFont val="Noto Sans CJK SC"/>
        <family val="2"/>
      </rPr>
      <t xml:space="preserve">チャンネル内比較</t>
    </r>
    <r>
      <rPr>
        <sz val="10"/>
        <rFont val="Arial"/>
        <family val="0"/>
        <charset val="1"/>
      </rPr>
      <t xml:space="preserve">: </t>
    </r>
    <r>
      <rPr>
        <sz val="10"/>
        <rFont val="Noto Sans CJK SC"/>
        <family val="2"/>
      </rPr>
      <t xml:space="preserve">「怖」含む中央値</t>
    </r>
    <r>
      <rPr>
        <sz val="10"/>
        <rFont val="Arial"/>
        <family val="0"/>
        <charset val="1"/>
      </rPr>
      <t xml:space="preserve">1,899</t>
    </r>
    <r>
      <rPr>
        <sz val="10"/>
        <rFont val="Noto Sans CJK SC"/>
        <family val="2"/>
      </rPr>
      <t xml:space="preserve">再生 </t>
    </r>
    <r>
      <rPr>
        <sz val="10"/>
        <rFont val="Arial"/>
        <family val="0"/>
        <charset val="1"/>
      </rPr>
      <t xml:space="preserve">vs </t>
    </r>
    <r>
      <rPr>
        <sz val="10"/>
        <rFont val="Noto Sans CJK SC"/>
        <family val="2"/>
      </rPr>
      <t xml:space="preserve">非該当</t>
    </r>
    <r>
      <rPr>
        <sz val="10"/>
        <rFont val="Arial"/>
        <family val="0"/>
        <charset val="1"/>
      </rPr>
      <t xml:space="preserve">1,431</t>
    </r>
    <r>
      <rPr>
        <sz val="10"/>
        <rFont val="Noto Sans CJK SC"/>
        <family val="2"/>
      </rPr>
      <t xml:space="preserve">（</t>
    </r>
    <r>
      <rPr>
        <sz val="10"/>
        <rFont val="Arial"/>
        <family val="0"/>
        <charset val="1"/>
      </rPr>
      <t xml:space="preserve">1.33</t>
    </r>
    <r>
      <rPr>
        <sz val="10"/>
        <rFont val="Noto Sans CJK SC"/>
        <family val="2"/>
      </rPr>
      <t xml:space="preserve">倍）。「なぜ」始まりは</t>
    </r>
    <r>
      <rPr>
        <sz val="10"/>
        <rFont val="Arial"/>
        <family val="0"/>
        <charset val="1"/>
      </rPr>
      <t xml:space="preserve">0.80</t>
    </r>
    <r>
      <rPr>
        <sz val="10"/>
        <rFont val="Noto Sans CJK SC"/>
        <family val="2"/>
      </rPr>
      <t xml:space="preserve">倍で逆効果</t>
    </r>
  </si>
  <si>
    <t xml:space="preserve">指定なし</t>
  </si>
  <si>
    <t xml:space="preserve">「〜が怖すぎる」型を優先</t>
  </si>
  <si>
    <r>
      <rPr>
        <sz val="10"/>
        <rFont val="Noto Sans CJK SC"/>
        <family val="2"/>
      </rPr>
      <t xml:space="preserve">再生 </t>
    </r>
    <r>
      <rPr>
        <sz val="10"/>
        <rFont val="Arial"/>
        <family val="0"/>
        <charset val="1"/>
      </rPr>
      <t xml:space="preserve">+33%</t>
    </r>
  </si>
  <si>
    <t xml:space="preserve">ダッシュ「—」二段構成タイトルを維持指示</t>
  </si>
  <si>
    <r>
      <rPr>
        <sz val="10"/>
        <rFont val="Noto Sans CJK SC"/>
        <family val="2"/>
      </rPr>
      <t xml:space="preserve">チャンネル内比較</t>
    </r>
    <r>
      <rPr>
        <sz val="10"/>
        <rFont val="Arial"/>
        <family val="0"/>
        <charset val="1"/>
      </rPr>
      <t xml:space="preserve">: </t>
    </r>
    <r>
      <rPr>
        <sz val="10"/>
        <rFont val="Noto Sans CJK SC"/>
        <family val="2"/>
      </rPr>
      <t xml:space="preserve">「—」あり中央値</t>
    </r>
    <r>
      <rPr>
        <sz val="10"/>
        <rFont val="Arial"/>
        <family val="0"/>
        <charset val="1"/>
      </rPr>
      <t xml:space="preserve">956</t>
    </r>
    <r>
      <rPr>
        <sz val="10"/>
        <rFont val="Noto Sans CJK SC"/>
        <family val="2"/>
      </rPr>
      <t xml:space="preserve">再生 </t>
    </r>
    <r>
      <rPr>
        <sz val="10"/>
        <rFont val="Arial"/>
        <family val="0"/>
        <charset val="1"/>
      </rPr>
      <t xml:space="preserve">vs </t>
    </r>
    <r>
      <rPr>
        <sz val="10"/>
        <rFont val="Noto Sans CJK SC"/>
        <family val="2"/>
      </rPr>
      <t xml:space="preserve">なし</t>
    </r>
    <r>
      <rPr>
        <sz val="10"/>
        <rFont val="Arial"/>
        <family val="0"/>
        <charset val="1"/>
      </rPr>
      <t xml:space="preserve">764</t>
    </r>
    <r>
      <rPr>
        <sz val="10"/>
        <rFont val="Noto Sans CJK SC"/>
        <family val="2"/>
      </rPr>
      <t xml:space="preserve">（</t>
    </r>
    <r>
      <rPr>
        <sz val="10"/>
        <rFont val="Arial"/>
        <family val="0"/>
        <charset val="1"/>
      </rPr>
      <t xml:space="preserve">1.25</t>
    </r>
    <r>
      <rPr>
        <sz val="10"/>
        <rFont val="Noto Sans CJK SC"/>
        <family val="2"/>
      </rPr>
      <t xml:space="preserve">倍）</t>
    </r>
  </si>
  <si>
    <t xml:space="preserve">暗黙</t>
  </si>
  <si>
    <t xml:space="preserve">明示ルール化</t>
  </si>
  <si>
    <r>
      <rPr>
        <sz val="10"/>
        <rFont val="Noto Sans CJK SC"/>
        <family val="2"/>
      </rPr>
      <t xml:space="preserve">再生 </t>
    </r>
    <r>
      <rPr>
        <sz val="10"/>
        <rFont val="Arial"/>
        <family val="0"/>
        <charset val="1"/>
      </rPr>
      <t xml:space="preserve">+25%</t>
    </r>
  </si>
  <si>
    <r>
      <rPr>
        <sz val="10"/>
        <rFont val="Noto Sans CJK SC"/>
        <family val="2"/>
      </rPr>
      <t xml:space="preserve">「</t>
    </r>
    <r>
      <rPr>
        <sz val="10"/>
        <rFont val="Arial"/>
        <family val="0"/>
        <charset val="1"/>
      </rPr>
      <t xml:space="preserve">99%</t>
    </r>
    <r>
      <rPr>
        <sz val="10"/>
        <rFont val="Noto Sans CJK SC"/>
        <family val="2"/>
      </rPr>
      <t xml:space="preserve">が知らない」「なぜ」定型句への依存を停止</t>
    </r>
  </si>
  <si>
    <r>
      <rPr>
        <sz val="10"/>
        <rFont val="Noto Sans CJK SC"/>
        <family val="2"/>
      </rPr>
      <t xml:space="preserve">チャンネル内比較で「</t>
    </r>
    <r>
      <rPr>
        <sz val="10"/>
        <rFont val="Arial"/>
        <family val="0"/>
        <charset val="1"/>
      </rPr>
      <t xml:space="preserve">99%</t>
    </r>
    <r>
      <rPr>
        <sz val="10"/>
        <rFont val="Noto Sans CJK SC"/>
        <family val="2"/>
      </rPr>
      <t xml:space="preserve">が知らない」</t>
    </r>
    <r>
      <rPr>
        <sz val="10"/>
        <rFont val="Arial"/>
        <family val="0"/>
        <charset val="1"/>
      </rPr>
      <t xml:space="preserve">0.94</t>
    </r>
    <r>
      <rPr>
        <sz val="10"/>
        <rFont val="Noto Sans CJK SC"/>
        <family val="2"/>
      </rPr>
      <t xml:space="preserve">倍、「なぜ」始まり</t>
    </r>
    <r>
      <rPr>
        <sz val="10"/>
        <rFont val="Arial"/>
        <family val="0"/>
        <charset val="1"/>
      </rPr>
      <t xml:space="preserve">0.95</t>
    </r>
    <r>
      <rPr>
        <sz val="10"/>
        <rFont val="Noto Sans CJK SC"/>
        <family val="2"/>
      </rPr>
      <t xml:space="preserve">倍。いずれも効果が確認できず</t>
    </r>
  </si>
  <si>
    <t xml:space="preserve">定型句を多用</t>
  </si>
  <si>
    <t xml:space="preserve">具体的な違和感そのものを題材に</t>
  </si>
  <si>
    <t xml:space="preserve">惰性の定型句を排除</t>
  </si>
  <si>
    <r>
      <rPr>
        <sz val="10"/>
        <rFont val="Arial"/>
        <family val="0"/>
        <charset val="1"/>
      </rPr>
      <t xml:space="preserve">5ch</t>
    </r>
    <r>
      <rPr>
        <sz val="10"/>
        <rFont val="Noto Sans CJK SC"/>
        <family val="2"/>
      </rPr>
      <t xml:space="preserve">全て</t>
    </r>
  </si>
  <si>
    <r>
      <rPr>
        <sz val="10"/>
        <rFont val="Arial"/>
        <family val="0"/>
        <charset val="1"/>
      </rPr>
      <t xml:space="preserve">auto_optimize_schedule </t>
    </r>
    <r>
      <rPr>
        <sz val="10"/>
        <rFont val="Noto Sans CJK SC"/>
        <family val="2"/>
      </rPr>
      <t xml:space="preserve">を </t>
    </r>
    <r>
      <rPr>
        <sz val="10"/>
        <rFont val="Arial"/>
        <family val="0"/>
        <charset val="1"/>
      </rPr>
      <t xml:space="preserve">false </t>
    </r>
    <r>
      <rPr>
        <sz val="10"/>
        <rFont val="Noto Sans CJK SC"/>
        <family val="2"/>
      </rPr>
      <t xml:space="preserve">に固定</t>
    </r>
  </si>
  <si>
    <t xml:space="preserve">自動再最適化が実測ベースの設定を上書きするのを防ぐため</t>
  </si>
  <si>
    <t xml:space="preserve">true</t>
  </si>
  <si>
    <t xml:space="preserve">false</t>
  </si>
  <si>
    <t xml:space="preserve">設定の安定化</t>
  </si>
  <si>
    <t xml:space="preserve">要対応</t>
  </si>
  <si>
    <t xml:space="preserve">システム全体</t>
  </si>
  <si>
    <r>
      <rPr>
        <sz val="10"/>
        <rFont val="Arial"/>
        <family val="0"/>
        <charset val="1"/>
      </rPr>
      <t xml:space="preserve">impressions / CTR </t>
    </r>
    <r>
      <rPr>
        <sz val="10"/>
        <rFont val="Noto Sans CJK SC"/>
        <family val="2"/>
      </rPr>
      <t xml:space="preserve">の取得を復旧する</t>
    </r>
  </si>
  <si>
    <r>
      <rPr>
        <sz val="10"/>
        <rFont val="Arial"/>
        <family val="0"/>
        <charset val="1"/>
      </rPr>
      <t xml:space="preserve">video_metrics </t>
    </r>
    <r>
      <rPr>
        <sz val="10"/>
        <rFont val="Noto Sans CJK SC"/>
        <family val="2"/>
      </rPr>
      <t xml:space="preserve">全</t>
    </r>
    <r>
      <rPr>
        <sz val="10"/>
        <rFont val="Arial"/>
        <family val="0"/>
        <charset val="1"/>
      </rPr>
      <t xml:space="preserve">4,850</t>
    </r>
    <r>
      <rPr>
        <sz val="10"/>
        <rFont val="Noto Sans CJK SC"/>
        <family val="2"/>
      </rPr>
      <t xml:space="preserve">レコードで </t>
    </r>
    <r>
      <rPr>
        <sz val="10"/>
        <rFont val="Arial"/>
        <family val="0"/>
        <charset val="1"/>
      </rPr>
      <t xml:space="preserve">impressions=0, ctr=0</t>
    </r>
    <r>
      <rPr>
        <sz val="10"/>
        <rFont val="Noto Sans CJK SC"/>
        <family val="2"/>
      </rPr>
      <t xml:space="preserve">。</t>
    </r>
    <r>
      <rPr>
        <sz val="10"/>
        <rFont val="Arial"/>
        <family val="0"/>
        <charset val="1"/>
      </rPr>
      <t xml:space="preserve">thumbnail_ab_tests 18</t>
    </r>
    <r>
      <rPr>
        <sz val="10"/>
        <rFont val="Noto Sans CJK SC"/>
        <family val="2"/>
      </rPr>
      <t xml:space="preserve">件も </t>
    </r>
    <r>
      <rPr>
        <sz val="10"/>
        <rFont val="Arial"/>
        <family val="0"/>
        <charset val="1"/>
      </rPr>
      <t xml:space="preserve">last_check_ctr=0 </t>
    </r>
    <r>
      <rPr>
        <sz val="10"/>
        <rFont val="Noto Sans CJK SC"/>
        <family val="2"/>
      </rPr>
      <t xml:space="preserve">で判定不能</t>
    </r>
  </si>
  <si>
    <t xml:space="preserve">取得できていない</t>
  </si>
  <si>
    <r>
      <rPr>
        <sz val="10"/>
        <rFont val="Arial"/>
        <family val="0"/>
        <charset val="1"/>
      </rPr>
      <t xml:space="preserve">YouTube Analytics API </t>
    </r>
    <r>
      <rPr>
        <sz val="10"/>
        <rFont val="Noto Sans CJK SC"/>
        <family val="2"/>
      </rPr>
      <t xml:space="preserve">の指標追加が必要</t>
    </r>
  </si>
  <si>
    <t xml:space="preserve">サムネ改善が初めて定量評価可能になる</t>
  </si>
  <si>
    <t xml:space="preserve">company-facts</t>
  </si>
  <si>
    <t xml:space="preserve">投稿が到達しているか確認する</t>
  </si>
  <si>
    <r>
      <rPr>
        <sz val="10"/>
        <rFont val="Arial"/>
        <family val="0"/>
        <charset val="1"/>
      </rPr>
      <t xml:space="preserve">autopilot enabled=true</t>
    </r>
    <r>
      <rPr>
        <sz val="10"/>
        <rFont val="Noto Sans CJK SC"/>
        <family val="2"/>
      </rPr>
      <t xml:space="preserve">・キュー</t>
    </r>
    <r>
      <rPr>
        <sz val="10"/>
        <rFont val="Arial"/>
        <family val="0"/>
        <charset val="1"/>
      </rPr>
      <t xml:space="preserve">11</t>
    </r>
    <r>
      <rPr>
        <sz val="10"/>
        <rFont val="Noto Sans CJK SC"/>
        <family val="2"/>
      </rPr>
      <t xml:space="preserve">件だが </t>
    </r>
    <r>
      <rPr>
        <sz val="10"/>
        <rFont val="Arial"/>
        <family val="0"/>
        <charset val="1"/>
      </rPr>
      <t xml:space="preserve">video_metrics / channel_metrics </t>
    </r>
    <r>
      <rPr>
        <sz val="10"/>
        <rFont val="Noto Sans CJK SC"/>
        <family val="2"/>
      </rPr>
      <t xml:space="preserve">ともに</t>
    </r>
    <r>
      <rPr>
        <sz val="10"/>
        <rFont val="Arial"/>
        <family val="0"/>
        <charset val="1"/>
      </rPr>
      <t xml:space="preserve">0</t>
    </r>
    <r>
      <rPr>
        <sz val="10"/>
        <rFont val="Noto Sans CJK SC"/>
        <family val="2"/>
      </rPr>
      <t xml:space="preserve">件</t>
    </r>
  </si>
  <si>
    <t xml:space="preserve">原因不明</t>
  </si>
  <si>
    <t xml:space="preserve">要調査</t>
  </si>
  <si>
    <r>
      <rPr>
        <sz val="10"/>
        <rFont val="Arial"/>
        <family val="0"/>
        <charset val="1"/>
      </rPr>
      <t xml:space="preserve">6ch</t>
    </r>
    <r>
      <rPr>
        <sz val="10"/>
        <rFont val="Noto Sans CJK SC"/>
        <family val="2"/>
      </rPr>
      <t xml:space="preserve">目の稼働</t>
    </r>
  </si>
  <si>
    <t xml:space="preserve">clip-lab</t>
  </si>
  <si>
    <r>
      <rPr>
        <sz val="10"/>
        <rFont val="Arial"/>
        <family val="0"/>
        <charset val="1"/>
      </rPr>
      <t xml:space="preserve">autopilot </t>
    </r>
    <r>
      <rPr>
        <sz val="10"/>
        <rFont val="Noto Sans CJK SC"/>
        <family val="2"/>
      </rPr>
      <t xml:space="preserve">設定が方針と不整合</t>
    </r>
  </si>
  <si>
    <r>
      <rPr>
        <sz val="10"/>
        <rFont val="Noto Sans CJK SC"/>
        <family val="2"/>
      </rPr>
      <t xml:space="preserve">運用方針では凍結中だが </t>
    </r>
    <r>
      <rPr>
        <sz val="10"/>
        <rFont val="Arial"/>
        <family val="0"/>
        <charset val="1"/>
      </rPr>
      <t xml:space="preserve">enabled=true</t>
    </r>
    <r>
      <rPr>
        <sz val="10"/>
        <rFont val="Noto Sans CJK SC"/>
        <family val="2"/>
      </rPr>
      <t xml:space="preserve">・平日</t>
    </r>
    <r>
      <rPr>
        <sz val="10"/>
        <rFont val="Arial"/>
        <family val="0"/>
        <charset val="1"/>
      </rPr>
      <t xml:space="preserve">2</t>
    </r>
    <r>
      <rPr>
        <sz val="10"/>
        <rFont val="Noto Sans CJK SC"/>
        <family val="2"/>
      </rPr>
      <t xml:space="preserve">本</t>
    </r>
    <r>
      <rPr>
        <sz val="10"/>
        <rFont val="Arial"/>
        <family val="0"/>
        <charset val="1"/>
      </rPr>
      <t xml:space="preserve">/</t>
    </r>
    <r>
      <rPr>
        <sz val="10"/>
        <rFont val="Noto Sans CJK SC"/>
        <family val="2"/>
      </rPr>
      <t xml:space="preserve">日設定のまま。テーマキュー残</t>
    </r>
    <r>
      <rPr>
        <sz val="10"/>
        <rFont val="Arial"/>
        <family val="0"/>
        <charset val="1"/>
      </rPr>
      <t xml:space="preserve">2</t>
    </r>
    <r>
      <rPr>
        <sz val="10"/>
        <rFont val="Noto Sans CJK SC"/>
        <family val="2"/>
      </rPr>
      <t xml:space="preserve">件（</t>
    </r>
    <r>
      <rPr>
        <sz val="10"/>
        <rFont val="Arial"/>
        <family val="0"/>
        <charset val="1"/>
      </rPr>
      <t xml:space="preserve">1</t>
    </r>
    <r>
      <rPr>
        <sz val="10"/>
        <rFont val="Noto Sans CJK SC"/>
        <family val="2"/>
      </rPr>
      <t xml:space="preserve">日分）</t>
    </r>
  </si>
  <si>
    <t xml:space="preserve">enabled=true</t>
  </si>
  <si>
    <r>
      <rPr>
        <sz val="10"/>
        <rFont val="Noto Sans CJK SC"/>
        <family val="2"/>
      </rPr>
      <t xml:space="preserve">要確認（凍結なら </t>
    </r>
    <r>
      <rPr>
        <sz val="10"/>
        <rFont val="Arial"/>
        <family val="0"/>
        <charset val="1"/>
      </rPr>
      <t xml:space="preserve">false </t>
    </r>
    <r>
      <rPr>
        <sz val="10"/>
        <rFont val="Noto Sans CJK SC"/>
        <family val="2"/>
      </rPr>
      <t xml:space="preserve">へ）</t>
    </r>
  </si>
  <si>
    <t xml:space="preserve">無駄な処理・エラーの防止</t>
  </si>
  <si>
    <t xml:space="preserve">監視</t>
  </si>
  <si>
    <t xml:space="preserve">テーマキューの消費速度</t>
  </si>
  <si>
    <r>
      <rPr>
        <sz val="10"/>
        <rFont val="Arial"/>
        <family val="0"/>
        <charset val="1"/>
      </rPr>
      <t xml:space="preserve">2</t>
    </r>
    <r>
      <rPr>
        <sz val="10"/>
        <rFont val="Noto Sans CJK SC"/>
        <family val="2"/>
      </rPr>
      <t xml:space="preserve">本</t>
    </r>
    <r>
      <rPr>
        <sz val="10"/>
        <rFont val="Arial"/>
        <family val="0"/>
        <charset val="1"/>
      </rPr>
      <t xml:space="preserve">/</t>
    </r>
    <r>
      <rPr>
        <sz val="10"/>
        <rFont val="Noto Sans CJK SC"/>
        <family val="2"/>
      </rPr>
      <t xml:space="preserve">日へ増枠したためキュー</t>
    </r>
    <r>
      <rPr>
        <sz val="10"/>
        <rFont val="Arial"/>
        <family val="0"/>
        <charset val="1"/>
      </rPr>
      <t xml:space="preserve">17</t>
    </r>
    <r>
      <rPr>
        <sz val="10"/>
        <rFont val="Noto Sans CJK SC"/>
        <family val="2"/>
      </rPr>
      <t xml:space="preserve">件</t>
    </r>
    <r>
      <rPr>
        <sz val="10"/>
        <rFont val="Arial"/>
        <family val="0"/>
        <charset val="1"/>
      </rPr>
      <t xml:space="preserve">=8.5</t>
    </r>
    <r>
      <rPr>
        <sz val="10"/>
        <rFont val="Noto Sans CJK SC"/>
        <family val="2"/>
      </rPr>
      <t xml:space="preserve">日分に短縮。未処理のトレンド検出は</t>
    </r>
    <r>
      <rPr>
        <sz val="10"/>
        <rFont val="Arial"/>
        <family val="0"/>
        <charset val="1"/>
      </rPr>
      <t xml:space="preserve">76</t>
    </r>
    <r>
      <rPr>
        <sz val="10"/>
        <rFont val="Noto Sans CJK SC"/>
        <family val="2"/>
      </rPr>
      <t xml:space="preserve">件あり自動補充は見込める</t>
    </r>
  </si>
  <si>
    <r>
      <rPr>
        <sz val="10"/>
        <rFont val="Arial"/>
        <family val="0"/>
        <charset val="1"/>
      </rPr>
      <t xml:space="preserve">17</t>
    </r>
    <r>
      <rPr>
        <sz val="10"/>
        <rFont val="Noto Sans CJK SC"/>
        <family val="2"/>
      </rPr>
      <t xml:space="preserve">件 </t>
    </r>
    <r>
      <rPr>
        <sz val="10"/>
        <rFont val="Arial"/>
        <family val="0"/>
        <charset val="1"/>
      </rPr>
      <t xml:space="preserve">/ 8.5</t>
    </r>
    <r>
      <rPr>
        <sz val="10"/>
        <rFont val="Noto Sans CJK SC"/>
        <family val="2"/>
      </rPr>
      <t xml:space="preserve">日分</t>
    </r>
  </si>
  <si>
    <t xml:space="preserve">—</t>
  </si>
  <si>
    <t xml:space="preserve">枯渇したら手動補充</t>
  </si>
  <si>
    <t xml:space="preserve">トレンド分析</t>
  </si>
  <si>
    <t xml:space="preserve">① 動画尺と視聴維持率（チャンネルごとに最適解が逆方向）</t>
  </si>
  <si>
    <r>
      <rPr>
        <i val="true"/>
        <sz val="9"/>
        <color rgb="FF666666"/>
        <rFont val="Noto Sans CJK SC"/>
        <family val="2"/>
      </rPr>
      <t xml:space="preserve">推定尺 </t>
    </r>
    <r>
      <rPr>
        <i val="true"/>
        <sz val="9"/>
        <color rgb="FF666666"/>
        <rFont val="Arial"/>
        <family val="0"/>
        <charset val="1"/>
      </rPr>
      <t xml:space="preserve">= </t>
    </r>
    <r>
      <rPr>
        <i val="true"/>
        <sz val="9"/>
        <color rgb="FF666666"/>
        <rFont val="Noto Sans CJK SC"/>
        <family val="2"/>
      </rPr>
      <t xml:space="preserve">平均視聴秒数 </t>
    </r>
    <r>
      <rPr>
        <i val="true"/>
        <sz val="9"/>
        <color rgb="FF666666"/>
        <rFont val="Arial"/>
        <family val="0"/>
        <charset val="1"/>
      </rPr>
      <t xml:space="preserve">÷ </t>
    </r>
    <r>
      <rPr>
        <i val="true"/>
        <sz val="9"/>
        <color rgb="FF666666"/>
        <rFont val="Noto Sans CJK SC"/>
        <family val="2"/>
      </rPr>
      <t xml:space="preserve">視聴維持率。直近</t>
    </r>
    <r>
      <rPr>
        <i val="true"/>
        <sz val="9"/>
        <color rgb="FF666666"/>
        <rFont val="Arial"/>
        <family val="0"/>
        <charset val="1"/>
      </rPr>
      <t xml:space="preserve">30</t>
    </r>
    <r>
      <rPr>
        <i val="true"/>
        <sz val="9"/>
        <color rgb="FF666666"/>
        <rFont val="Noto Sans CJK SC"/>
        <family val="2"/>
      </rPr>
      <t xml:space="preserve">日以降の公開分、各帯</t>
    </r>
    <r>
      <rPr>
        <i val="true"/>
        <sz val="9"/>
        <color rgb="FF666666"/>
        <rFont val="Arial"/>
        <family val="0"/>
        <charset val="1"/>
      </rPr>
      <t xml:space="preserve">4</t>
    </r>
    <r>
      <rPr>
        <i val="true"/>
        <sz val="9"/>
        <color rgb="FF666666"/>
        <rFont val="Noto Sans CJK SC"/>
        <family val="2"/>
      </rPr>
      <t xml:space="preserve">本以上。</t>
    </r>
  </si>
  <si>
    <r>
      <rPr>
        <b val="true"/>
        <sz val="10"/>
        <color rgb="FFFFFFFF"/>
        <rFont val="Noto Sans CJK SC"/>
        <family val="2"/>
      </rPr>
      <t xml:space="preserve">推定尺</t>
    </r>
    <r>
      <rPr>
        <b val="true"/>
        <sz val="10"/>
        <color rgb="FFFFFFFF"/>
        <rFont val="Arial"/>
        <family val="0"/>
        <charset val="1"/>
      </rPr>
      <t xml:space="preserve">(</t>
    </r>
    <r>
      <rPr>
        <b val="true"/>
        <sz val="10"/>
        <color rgb="FFFFFFFF"/>
        <rFont val="Noto Sans CJK SC"/>
        <family val="2"/>
      </rPr>
      <t xml:space="preserve">秒</t>
    </r>
    <r>
      <rPr>
        <b val="true"/>
        <sz val="10"/>
        <color rgb="FFFFFFFF"/>
        <rFont val="Arial"/>
        <family val="0"/>
        <charset val="1"/>
      </rPr>
      <t xml:space="preserve">)</t>
    </r>
  </si>
  <si>
    <t xml:space="preserve">この帯の評価</t>
  </si>
  <si>
    <t xml:space="preserve">◎ このチャンネルの最適帯</t>
  </si>
  <si>
    <r>
      <rPr>
        <b val="true"/>
        <sz val="10"/>
        <rFont val="Noto Sans CJK SC"/>
        <family val="2"/>
      </rPr>
      <t xml:space="preserve">結論</t>
    </r>
    <r>
      <rPr>
        <b val="true"/>
        <sz val="10"/>
        <rFont val="Arial"/>
        <family val="0"/>
        <charset val="1"/>
      </rPr>
      <t xml:space="preserve">: scp-lab </t>
    </r>
    <r>
      <rPr>
        <b val="true"/>
        <sz val="10"/>
        <rFont val="Noto Sans CJK SC"/>
        <family val="2"/>
      </rPr>
      <t xml:space="preserve">と </t>
    </r>
    <r>
      <rPr>
        <b val="true"/>
        <sz val="10"/>
        <rFont val="Arial"/>
        <family val="0"/>
        <charset val="1"/>
      </rPr>
      <t xml:space="preserve">daily-science </t>
    </r>
    <r>
      <rPr>
        <b val="true"/>
        <sz val="10"/>
        <rFont val="Noto Sans CJK SC"/>
        <family val="2"/>
      </rPr>
      <t xml:space="preserve">は「短いほど良い」、</t>
    </r>
    <r>
      <rPr>
        <b val="true"/>
        <sz val="10"/>
        <rFont val="Arial"/>
        <family val="0"/>
        <charset val="1"/>
      </rPr>
      <t xml:space="preserve">yokai-watch </t>
    </r>
    <r>
      <rPr>
        <b val="true"/>
        <sz val="10"/>
        <rFont val="Noto Sans CJK SC"/>
        <family val="2"/>
      </rPr>
      <t xml:space="preserve">は「長いほど良い」。一律の尺設定は誤り。</t>
    </r>
  </si>
  <si>
    <r>
      <rPr>
        <b val="true"/>
        <sz val="10"/>
        <rFont val="Noto Sans CJK SC"/>
        <family val="2"/>
      </rPr>
      <t xml:space="preserve">② 視聴維持率カーブ（再生位置別の残存率・</t>
    </r>
    <r>
      <rPr>
        <b val="true"/>
        <sz val="10"/>
        <rFont val="Arial"/>
        <family val="0"/>
        <charset val="1"/>
      </rPr>
      <t xml:space="preserve">retention_curve </t>
    </r>
    <r>
      <rPr>
        <b val="true"/>
        <sz val="10"/>
        <rFont val="Noto Sans CJK SC"/>
        <family val="2"/>
      </rPr>
      <t xml:space="preserve">実測平均）</t>
    </r>
  </si>
  <si>
    <r>
      <rPr>
        <i val="true"/>
        <sz val="9"/>
        <color rgb="FF666666"/>
        <rFont val="Arial"/>
        <family val="0"/>
        <charset val="1"/>
      </rPr>
      <t xml:space="preserve">1.0 = </t>
    </r>
    <r>
      <rPr>
        <i val="true"/>
        <sz val="9"/>
        <color rgb="FF666666"/>
        <rFont val="Noto Sans CJK SC"/>
        <family val="2"/>
      </rPr>
      <t xml:space="preserve">チャンネル平均並み。</t>
    </r>
    <r>
      <rPr>
        <i val="true"/>
        <sz val="9"/>
        <color rgb="FF666666"/>
        <rFont val="Arial"/>
        <family val="0"/>
        <charset val="1"/>
      </rPr>
      <t xml:space="preserve">1.0</t>
    </r>
    <r>
      <rPr>
        <i val="true"/>
        <sz val="9"/>
        <color rgb="FF666666"/>
        <rFont val="Noto Sans CJK SC"/>
        <family val="2"/>
      </rPr>
      <t xml:space="preserve">を下回る位置が離脱ポイント。</t>
    </r>
  </si>
  <si>
    <t xml:space="preserve">0%</t>
  </si>
  <si>
    <t xml:space="preserve">5%</t>
  </si>
  <si>
    <t xml:space="preserve">10%</t>
  </si>
  <si>
    <t xml:space="preserve">15%</t>
  </si>
  <si>
    <t xml:space="preserve">20%</t>
  </si>
  <si>
    <t xml:space="preserve">30%</t>
  </si>
  <si>
    <t xml:space="preserve">50%</t>
  </si>
  <si>
    <t xml:space="preserve">評価</t>
  </si>
  <si>
    <t xml:space="preserve">最下位。当事者化ルールを追加</t>
  </si>
  <si>
    <t xml:space="preserve">最良</t>
  </si>
  <si>
    <r>
      <rPr>
        <b val="true"/>
        <sz val="10"/>
        <rFont val="Noto Sans CJK SC"/>
        <family val="2"/>
      </rPr>
      <t xml:space="preserve">結論</t>
    </r>
    <r>
      <rPr>
        <b val="true"/>
        <sz val="10"/>
        <rFont val="Arial"/>
        <family val="0"/>
        <charset val="1"/>
      </rPr>
      <t xml:space="preserve">: </t>
    </r>
    <r>
      <rPr>
        <b val="true"/>
        <sz val="10"/>
        <rFont val="Noto Sans CJK SC"/>
        <family val="2"/>
      </rPr>
      <t xml:space="preserve">全チャンネルが</t>
    </r>
    <r>
      <rPr>
        <b val="true"/>
        <sz val="10"/>
        <rFont val="Arial"/>
        <family val="0"/>
        <charset val="1"/>
      </rPr>
      <t xml:space="preserve">20%</t>
    </r>
    <r>
      <rPr>
        <b val="true"/>
        <sz val="10"/>
        <rFont val="Noto Sans CJK SC"/>
        <family val="2"/>
      </rPr>
      <t xml:space="preserve">地点で</t>
    </r>
    <r>
      <rPr>
        <b val="true"/>
        <sz val="10"/>
        <rFont val="Arial"/>
        <family val="0"/>
        <charset val="1"/>
      </rPr>
      <t xml:space="preserve">1.0</t>
    </r>
    <r>
      <rPr>
        <b val="true"/>
        <sz val="10"/>
        <rFont val="Noto Sans CJK SC"/>
        <family val="2"/>
      </rPr>
      <t xml:space="preserve">を割る。ここが共通の離脱ポイント → 答えの提示を</t>
    </r>
    <r>
      <rPr>
        <b val="true"/>
        <sz val="10"/>
        <rFont val="Arial"/>
        <family val="0"/>
        <charset val="1"/>
      </rPr>
      <t xml:space="preserve">40%</t>
    </r>
    <r>
      <rPr>
        <b val="true"/>
        <sz val="10"/>
        <rFont val="Noto Sans CJK SC"/>
        <family val="2"/>
      </rPr>
      <t xml:space="preserve">地点以降へ後ろ倒しするルールを全</t>
    </r>
    <r>
      <rPr>
        <b val="true"/>
        <sz val="10"/>
        <rFont val="Arial"/>
        <family val="0"/>
        <charset val="1"/>
      </rPr>
      <t xml:space="preserve">ch</t>
    </r>
    <r>
      <rPr>
        <b val="true"/>
        <sz val="10"/>
        <rFont val="Noto Sans CJK SC"/>
        <family val="2"/>
      </rPr>
      <t xml:space="preserve">に適用済み。</t>
    </r>
  </si>
  <si>
    <t xml:space="preserve">③ タイトル要素の効果（チャンネル内比較・中央値再生数）</t>
  </si>
  <si>
    <r>
      <rPr>
        <i val="true"/>
        <sz val="9"/>
        <color rgb="FF666666"/>
        <rFont val="Noto Sans CJK SC"/>
        <family val="2"/>
      </rPr>
      <t xml:space="preserve">重要</t>
    </r>
    <r>
      <rPr>
        <i val="true"/>
        <sz val="9"/>
        <color rgb="FF666666"/>
        <rFont val="Arial"/>
        <family val="0"/>
        <charset val="1"/>
      </rPr>
      <t xml:space="preserve">: </t>
    </r>
    <r>
      <rPr>
        <i val="true"/>
        <sz val="9"/>
        <color rgb="FF666666"/>
        <rFont val="Noto Sans CJK SC"/>
        <family val="2"/>
      </rPr>
      <t xml:space="preserve">チャンネルをまたいだ単純比較は「強いチャンネルが使っている表現」を過大評価する。下表はすべて同一チャンネル内での比較。</t>
    </r>
  </si>
  <si>
    <t xml:space="preserve">要素</t>
  </si>
  <si>
    <t xml:space="preserve">該当あり 本数</t>
  </si>
  <si>
    <t xml:space="preserve">該当あり 中央値</t>
  </si>
  <si>
    <t xml:space="preserve">該当なし 本数</t>
  </si>
  <si>
    <t xml:space="preserve">該当なし 中央値</t>
  </si>
  <si>
    <t xml:space="preserve">倍率</t>
  </si>
  <si>
    <t xml:space="preserve">「怖」を含む</t>
  </si>
  <si>
    <t xml:space="preserve">有効 → 優先ルール化</t>
  </si>
  <si>
    <t xml:space="preserve">弱いが正方向</t>
  </si>
  <si>
    <t xml:space="preserve">全角ダッシュ「—」</t>
  </si>
  <si>
    <t xml:space="preserve">有効 → 維持ルール化</t>
  </si>
  <si>
    <t xml:space="preserve">「なぜ」で始まる</t>
  </si>
  <si>
    <t xml:space="preserve">逆効果 → 禁止</t>
  </si>
  <si>
    <t xml:space="preserve">効果なし</t>
  </si>
  <si>
    <r>
      <rPr>
        <sz val="10"/>
        <rFont val="Noto Sans CJK SC"/>
        <family val="2"/>
      </rPr>
      <t xml:space="preserve">「</t>
    </r>
    <r>
      <rPr>
        <sz val="10"/>
        <rFont val="Arial"/>
        <family val="0"/>
        <charset val="1"/>
      </rPr>
      <t xml:space="preserve">99%</t>
    </r>
    <r>
      <rPr>
        <sz val="10"/>
        <rFont val="Noto Sans CJK SC"/>
        <family val="2"/>
      </rPr>
      <t xml:space="preserve">が知らない」</t>
    </r>
  </si>
  <si>
    <t xml:space="preserve">効果なし → 依存を停止</t>
  </si>
  <si>
    <r>
      <rPr>
        <i val="true"/>
        <sz val="9"/>
        <color rgb="FF666666"/>
        <rFont val="Noto Sans CJK SC"/>
        <family val="2"/>
      </rPr>
      <t xml:space="preserve">注</t>
    </r>
    <r>
      <rPr>
        <i val="true"/>
        <sz val="9"/>
        <color rgb="FF666666"/>
        <rFont val="Arial"/>
        <family val="0"/>
        <charset val="1"/>
      </rPr>
      <t xml:space="preserve">: </t>
    </r>
    <r>
      <rPr>
        <i val="true"/>
        <sz val="9"/>
        <color rgb="FF666666"/>
        <rFont val="Noto Sans CJK SC"/>
        <family val="2"/>
      </rPr>
      <t xml:space="preserve">当初のチャンネル横断集計では「数字入りタイトル </t>
    </r>
    <r>
      <rPr>
        <i val="true"/>
        <sz val="9"/>
        <color rgb="FF666666"/>
        <rFont val="Arial"/>
        <family val="0"/>
        <charset val="1"/>
      </rPr>
      <t xml:space="preserve">-340</t>
    </r>
    <r>
      <rPr>
        <i val="true"/>
        <sz val="9"/>
        <color rgb="FF666666"/>
        <rFont val="Noto Sans CJK SC"/>
        <family val="2"/>
      </rPr>
      <t xml:space="preserve">再生」「</t>
    </r>
    <r>
      <rPr>
        <i val="true"/>
        <sz val="9"/>
        <color rgb="FF666666"/>
        <rFont val="Arial"/>
        <family val="0"/>
        <charset val="1"/>
      </rPr>
      <t xml:space="preserve">99%</t>
    </r>
    <r>
      <rPr>
        <i val="true"/>
        <sz val="9"/>
        <color rgb="FF666666"/>
        <rFont val="Noto Sans CJK SC"/>
        <family val="2"/>
      </rPr>
      <t xml:space="preserve">が知らない </t>
    </r>
    <r>
      <rPr>
        <i val="true"/>
        <sz val="9"/>
        <color rgb="FF666666"/>
        <rFont val="Arial"/>
        <family val="0"/>
        <charset val="1"/>
      </rPr>
      <t xml:space="preserve">-200</t>
    </r>
    <r>
      <rPr>
        <i val="true"/>
        <sz val="9"/>
        <color rgb="FF666666"/>
        <rFont val="Noto Sans CJK SC"/>
        <family val="2"/>
      </rPr>
      <t xml:space="preserve">再生」と出たが、チャンネル内比較では消滅した。</t>
    </r>
  </si>
  <si>
    <r>
      <rPr>
        <i val="true"/>
        <sz val="9"/>
        <color rgb="FF666666"/>
        <rFont val="Noto Sans CJK SC"/>
        <family val="2"/>
      </rPr>
      <t xml:space="preserve">これは低調な</t>
    </r>
    <r>
      <rPr>
        <i val="true"/>
        <sz val="9"/>
        <color rgb="FF666666"/>
        <rFont val="Arial"/>
        <family val="0"/>
        <charset val="1"/>
      </rPr>
      <t xml:space="preserve">2ch</t>
    </r>
    <r>
      <rPr>
        <i val="true"/>
        <sz val="9"/>
        <color rgb="FF666666"/>
        <rFont val="Noto Sans CJK SC"/>
        <family val="2"/>
      </rPr>
      <t xml:space="preserve">（</t>
    </r>
    <r>
      <rPr>
        <i val="true"/>
        <sz val="9"/>
        <color rgb="FF666666"/>
        <rFont val="Arial"/>
        <family val="0"/>
        <charset val="1"/>
      </rPr>
      <t xml:space="preserve">daily-science / scp-lab</t>
    </r>
    <r>
      <rPr>
        <i val="true"/>
        <sz val="9"/>
        <color rgb="FF666666"/>
        <rFont val="Noto Sans CJK SC"/>
        <family val="2"/>
      </rPr>
      <t xml:space="preserve">）が定型句を多用していたことによる交絡であり、タイトル表現そのものの効果ではなかった。</t>
    </r>
  </si>
  <si>
    <r>
      <rPr>
        <b val="true"/>
        <sz val="10"/>
        <rFont val="Noto Sans CJK SC"/>
        <family val="2"/>
      </rPr>
      <t xml:space="preserve">④ 競合比較（最新分析日 </t>
    </r>
    <r>
      <rPr>
        <b val="true"/>
        <sz val="10"/>
        <rFont val="Arial"/>
        <family val="0"/>
        <charset val="1"/>
      </rPr>
      <t xml:space="preserve">2026-08-16</t>
    </r>
    <r>
      <rPr>
        <b val="true"/>
        <sz val="10"/>
        <rFont val="Noto Sans CJK SC"/>
        <family val="2"/>
      </rPr>
      <t xml:space="preserve">）</t>
    </r>
  </si>
  <si>
    <t xml:space="preserve">自チャンネル</t>
  </si>
  <si>
    <t xml:space="preserve">競合チャンネル</t>
  </si>
  <si>
    <t xml:space="preserve">登録者数</t>
  </si>
  <si>
    <t xml:space="preserve">平均再生数</t>
  </si>
  <si>
    <t xml:space="preserve">週間投稿数</t>
  </si>
  <si>
    <t xml:space="preserve">るーいのゆっくり科学</t>
  </si>
  <si>
    <t xml:space="preserve">化け学のふしぎ【ゆっくり解説】</t>
  </si>
  <si>
    <r>
      <rPr>
        <sz val="10"/>
        <rFont val="Noto Sans CJK SC"/>
        <family val="2"/>
      </rPr>
      <t xml:space="preserve">【ゆっくり解説】</t>
    </r>
    <r>
      <rPr>
        <sz val="10"/>
        <rFont val="Arial"/>
        <family val="0"/>
        <charset val="1"/>
      </rPr>
      <t xml:space="preserve">9</t>
    </r>
    <r>
      <rPr>
        <sz val="10"/>
        <rFont val="Noto Sans CJK SC"/>
        <family val="2"/>
      </rPr>
      <t xml:space="preserve">割が知らない雑学</t>
    </r>
  </si>
  <si>
    <t xml:space="preserve">裏しまたろう【雑学科学ゆっくり解説チャンネル】</t>
  </si>
  <si>
    <r>
      <rPr>
        <sz val="10"/>
        <rFont val="Arial"/>
        <family val="0"/>
        <charset val="1"/>
      </rPr>
      <t xml:space="preserve">VAIENCE </t>
    </r>
    <r>
      <rPr>
        <sz val="10"/>
        <rFont val="Noto Sans CJK SC"/>
        <family val="2"/>
      </rPr>
      <t xml:space="preserve">バイエンス</t>
    </r>
  </si>
  <si>
    <r>
      <rPr>
        <sz val="10"/>
        <rFont val="Noto Sans CJK SC"/>
        <family val="2"/>
      </rPr>
      <t xml:space="preserve">サイエンスドリーム 【</t>
    </r>
    <r>
      <rPr>
        <sz val="10"/>
        <rFont val="Arial"/>
        <family val="0"/>
        <charset val="1"/>
      </rPr>
      <t xml:space="preserve">Science Dream</t>
    </r>
    <r>
      <rPr>
        <sz val="10"/>
        <rFont val="Noto Sans CJK SC"/>
        <family val="2"/>
      </rPr>
      <t xml:space="preserve">】</t>
    </r>
  </si>
  <si>
    <t xml:space="preserve">デルタのゆっくり科学</t>
  </si>
  <si>
    <t xml:space="preserve">ゆっくり生物チャンネル【ゆっくり解説】</t>
  </si>
  <si>
    <t xml:space="preserve">ゆっくり宇宙教室</t>
  </si>
  <si>
    <r>
      <rPr>
        <sz val="10"/>
        <rFont val="Noto Sans CJK SC"/>
        <family val="2"/>
      </rPr>
      <t xml:space="preserve">レアな雑学</t>
    </r>
    <r>
      <rPr>
        <sz val="10"/>
        <rFont val="Arial"/>
        <family val="0"/>
        <charset val="1"/>
      </rPr>
      <t xml:space="preserve">ch</t>
    </r>
    <r>
      <rPr>
        <sz val="10"/>
        <rFont val="Noto Sans CJK SC"/>
        <family val="2"/>
      </rPr>
      <t xml:space="preserve">　科学部の姉妹</t>
    </r>
  </si>
  <si>
    <r>
      <rPr>
        <sz val="10"/>
        <rFont val="Arial"/>
        <family val="0"/>
        <charset val="1"/>
      </rPr>
      <t xml:space="preserve">SCP </t>
    </r>
    <r>
      <rPr>
        <sz val="10"/>
        <rFont val="Noto Sans CJK SC"/>
        <family val="2"/>
      </rPr>
      <t xml:space="preserve">アニメーションズ </t>
    </r>
    <r>
      <rPr>
        <sz val="10"/>
        <rFont val="Arial"/>
        <family val="0"/>
        <charset val="1"/>
      </rPr>
      <t xml:space="preserve">From Japan</t>
    </r>
  </si>
  <si>
    <r>
      <rPr>
        <sz val="10"/>
        <rFont val="Noto Sans CJK SC"/>
        <family val="2"/>
      </rPr>
      <t xml:space="preserve">ぜーたのゆっくり</t>
    </r>
    <r>
      <rPr>
        <sz val="10"/>
        <rFont val="Arial"/>
        <family val="0"/>
        <charset val="1"/>
      </rPr>
      <t xml:space="preserve">SCP</t>
    </r>
    <r>
      <rPr>
        <sz val="10"/>
        <rFont val="Noto Sans CJK SC"/>
        <family val="2"/>
      </rPr>
      <t xml:space="preserve">解説</t>
    </r>
  </si>
  <si>
    <t xml:space="preserve">サリーの部屋</t>
  </si>
  <si>
    <r>
      <rPr>
        <sz val="10"/>
        <rFont val="Arial"/>
        <family val="0"/>
        <charset val="1"/>
      </rPr>
      <t xml:space="preserve">SCP</t>
    </r>
    <r>
      <rPr>
        <sz val="10"/>
        <rFont val="Noto Sans CJK SC"/>
        <family val="2"/>
      </rPr>
      <t xml:space="preserve">美術館【解説】</t>
    </r>
  </si>
  <si>
    <r>
      <rPr>
        <sz val="10"/>
        <rFont val="Noto Sans CJK SC"/>
        <family val="2"/>
      </rPr>
      <t xml:space="preserve">鮭しゃぶ【ゆっくり</t>
    </r>
    <r>
      <rPr>
        <sz val="10"/>
        <rFont val="Arial"/>
        <family val="0"/>
        <charset val="1"/>
      </rPr>
      <t xml:space="preserve">SCP</t>
    </r>
    <r>
      <rPr>
        <sz val="10"/>
        <rFont val="Noto Sans CJK SC"/>
        <family val="2"/>
      </rPr>
      <t xml:space="preserve">解説】</t>
    </r>
  </si>
  <si>
    <r>
      <rPr>
        <sz val="10"/>
        <rFont val="Arial"/>
        <family val="0"/>
        <charset val="1"/>
      </rPr>
      <t xml:space="preserve">404studio_</t>
    </r>
    <r>
      <rPr>
        <sz val="10"/>
        <rFont val="Noto Sans CJK SC"/>
        <family val="2"/>
      </rPr>
      <t xml:space="preserve">ゆっくり</t>
    </r>
    <r>
      <rPr>
        <sz val="10"/>
        <rFont val="Arial"/>
        <family val="0"/>
        <charset val="1"/>
      </rPr>
      <t xml:space="preserve">SCP</t>
    </r>
    <r>
      <rPr>
        <sz val="10"/>
        <rFont val="Noto Sans CJK SC"/>
        <family val="2"/>
      </rPr>
      <t xml:space="preserve">解説</t>
    </r>
  </si>
  <si>
    <r>
      <rPr>
        <sz val="10"/>
        <rFont val="Arial"/>
        <family val="0"/>
        <charset val="1"/>
      </rPr>
      <t xml:space="preserve">SCP</t>
    </r>
    <r>
      <rPr>
        <sz val="10"/>
        <rFont val="Noto Sans CJK SC"/>
        <family val="2"/>
      </rPr>
      <t xml:space="preserve">図鑑</t>
    </r>
  </si>
  <si>
    <t xml:space="preserve">ゆっくりまほろ</t>
  </si>
  <si>
    <t xml:space="preserve">東雲 篠</t>
  </si>
  <si>
    <t xml:space="preserve">左上哀歌</t>
  </si>
  <si>
    <r>
      <rPr>
        <i val="true"/>
        <sz val="9"/>
        <color rgb="FF666666"/>
        <rFont val="Noto Sans CJK SC"/>
        <family val="2"/>
      </rPr>
      <t xml:space="preserve">注</t>
    </r>
    <r>
      <rPr>
        <i val="true"/>
        <sz val="9"/>
        <color rgb="FF666666"/>
        <rFont val="Arial"/>
        <family val="0"/>
        <charset val="1"/>
      </rPr>
      <t xml:space="preserve">: </t>
    </r>
    <r>
      <rPr>
        <i val="true"/>
        <sz val="9"/>
        <color rgb="FF666666"/>
        <rFont val="Noto Sans CJK SC"/>
        <family val="2"/>
      </rPr>
      <t xml:space="preserve">競合データが存在するのは </t>
    </r>
    <r>
      <rPr>
        <i val="true"/>
        <sz val="9"/>
        <color rgb="FF666666"/>
        <rFont val="Arial"/>
        <family val="0"/>
        <charset val="1"/>
      </rPr>
      <t xml:space="preserve">daily-science </t>
    </r>
    <r>
      <rPr>
        <i val="true"/>
        <sz val="9"/>
        <color rgb="FF666666"/>
        <rFont val="Noto Sans CJK SC"/>
        <family val="2"/>
      </rPr>
      <t xml:space="preserve">と </t>
    </r>
    <r>
      <rPr>
        <i val="true"/>
        <sz val="9"/>
        <color rgb="FF666666"/>
        <rFont val="Arial"/>
        <family val="0"/>
        <charset val="1"/>
      </rPr>
      <t xml:space="preserve">scp-lab </t>
    </r>
    <r>
      <rPr>
        <i val="true"/>
        <sz val="9"/>
        <color rgb="FF666666"/>
        <rFont val="Noto Sans CJK SC"/>
        <family val="2"/>
      </rPr>
      <t xml:space="preserve">のみ。</t>
    </r>
    <r>
      <rPr>
        <i val="true"/>
        <sz val="9"/>
        <color rgb="FF666666"/>
        <rFont val="Arial"/>
        <family val="0"/>
        <charset val="1"/>
      </rPr>
      <t xml:space="preserve">pokemon-lab / yokai-watch / 2ch-matome </t>
    </r>
    <r>
      <rPr>
        <i val="true"/>
        <sz val="9"/>
        <color rgb="FF666666"/>
        <rFont val="Noto Sans CJK SC"/>
        <family val="2"/>
      </rPr>
      <t xml:space="preserve">は競合分析が未実施。</t>
    </r>
  </si>
</sst>
</file>

<file path=xl/styles.xml><?xml version="1.0" encoding="utf-8"?>
<styleSheet xmlns="http://schemas.openxmlformats.org/spreadsheetml/2006/main">
  <numFmts count="8">
    <numFmt numFmtId="164" formatCode="General"/>
    <numFmt numFmtId="165" formatCode="#,##0"/>
    <numFmt numFmtId="166" formatCode="0.000"/>
    <numFmt numFmtId="167" formatCode="0.0%"/>
    <numFmt numFmtId="168" formatCode="0.0"/>
    <numFmt numFmtId="169" formatCode="0.00%"/>
    <numFmt numFmtId="170" formatCode="0.00"/>
    <numFmt numFmtId="171" formatCode="0.00\x"/>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4"/>
      <color rgb="FF1F3864"/>
      <name val="Noto Sans CJK SC"/>
      <family val="2"/>
    </font>
    <font>
      <i val="true"/>
      <sz val="9"/>
      <color rgb="FF666666"/>
      <name val="Noto Sans CJK SC"/>
      <family val="2"/>
    </font>
    <font>
      <i val="true"/>
      <sz val="9"/>
      <color rgb="FF666666"/>
      <name val="Arial"/>
      <family val="0"/>
      <charset val="1"/>
    </font>
    <font>
      <b val="true"/>
      <sz val="10"/>
      <name val="Noto Sans CJK SC"/>
      <family val="2"/>
    </font>
    <font>
      <b val="true"/>
      <sz val="10"/>
      <name val="Arial"/>
      <family val="0"/>
      <charset val="1"/>
    </font>
    <font>
      <b val="true"/>
      <sz val="10"/>
      <color rgb="FFFFFFFF"/>
      <name val="Noto Sans CJK SC"/>
      <family val="2"/>
    </font>
    <font>
      <sz val="10"/>
      <name val="Arial"/>
      <family val="0"/>
      <charset val="1"/>
    </font>
    <font>
      <sz val="10"/>
      <name val="Noto Sans CJK SC"/>
      <family val="2"/>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68" fontId="11" fillId="3"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70" fontId="11" fillId="3" borderId="1" xfId="0" applyFont="true" applyBorder="true" applyAlignment="false" applyProtection="false">
      <alignment horizontal="general" vertical="bottom" textRotation="0" wrapText="false" indent="0" shrinkToFit="false"/>
      <protection locked="true" hidden="false"/>
    </xf>
    <xf numFmtId="171" fontId="11" fillId="3"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71" fontId="11"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E2EFDA"/>
          <bgColor rgb="FF000000"/>
        </patternFill>
      </fill>
    </dxf>
    <dxf>
      <fill>
        <patternFill patternType="solid">
          <fgColor rgb="FFFCE4E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7" topLeftCell="A18"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15"/>
    <col collapsed="false" customWidth="true" hidden="false" outlineLevel="0" max="4" min="4" style="0" width="8"/>
    <col collapsed="false" customWidth="true" hidden="false" outlineLevel="0" max="5" min="5" style="0" width="12"/>
    <col collapsed="false" customWidth="true" hidden="false" outlineLevel="0" max="6" min="6" style="0" width="11"/>
    <col collapsed="false" customWidth="true" hidden="false" outlineLevel="0" max="7" min="7" style="0" width="10"/>
    <col collapsed="false" customWidth="true" hidden="false" outlineLevel="0" max="8" min="8" style="0" width="15"/>
    <col collapsed="false" customWidth="true" hidden="false" outlineLevel="0" max="9" min="9" style="0" width="18"/>
    <col collapsed="false" customWidth="true" hidden="false" outlineLevel="0" max="10" min="10" style="0" width="14"/>
    <col collapsed="false" customWidth="true" hidden="false" outlineLevel="0" max="11" min="11" style="0" width="11"/>
  </cols>
  <sheetData>
    <row r="1" customFormat="false" ht="21.6"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row>
    <row r="6" customFormat="false" ht="15" hidden="false" customHeight="false" outlineLevel="0" collapsed="false">
      <c r="A6" s="4" t="s">
        <v>4</v>
      </c>
      <c r="B6" s="4" t="s">
        <v>5</v>
      </c>
      <c r="C6" s="4" t="s">
        <v>6</v>
      </c>
    </row>
    <row r="7" customFormat="false" ht="15" hidden="false" customHeight="false" outlineLevel="0" collapsed="false">
      <c r="A7" s="5" t="s">
        <v>7</v>
      </c>
      <c r="B7" s="6" t="n">
        <v>164072</v>
      </c>
      <c r="C7" s="7" t="s">
        <v>8</v>
      </c>
    </row>
    <row r="8" customFormat="false" ht="15" hidden="false" customHeight="false" outlineLevel="0" collapsed="false">
      <c r="A8" s="5" t="s">
        <v>9</v>
      </c>
      <c r="B8" s="6" t="n">
        <v>97</v>
      </c>
      <c r="C8" s="7"/>
    </row>
    <row r="9" customFormat="false" ht="15" hidden="false" customHeight="false" outlineLevel="0" collapsed="false">
      <c r="A9" s="5" t="s">
        <v>10</v>
      </c>
      <c r="B9" s="6" t="n">
        <v>28</v>
      </c>
      <c r="C9" s="7"/>
    </row>
    <row r="10" customFormat="false" ht="15" hidden="false" customHeight="false" outlineLevel="0" collapsed="false">
      <c r="A10" s="5" t="s">
        <v>11</v>
      </c>
      <c r="B10" s="6" t="n">
        <v>69</v>
      </c>
      <c r="C10" s="7" t="s">
        <v>12</v>
      </c>
    </row>
    <row r="11" customFormat="false" ht="15" hidden="false" customHeight="false" outlineLevel="0" collapsed="false">
      <c r="A11" s="5" t="s">
        <v>13</v>
      </c>
      <c r="B11" s="6" t="n">
        <v>19402</v>
      </c>
      <c r="C11" s="7"/>
    </row>
    <row r="12" customFormat="false" ht="15" hidden="false" customHeight="false" outlineLevel="0" collapsed="false">
      <c r="A12" s="5" t="s">
        <v>14</v>
      </c>
      <c r="B12" s="6" t="n">
        <v>5</v>
      </c>
      <c r="C12" s="8" t="s">
        <v>15</v>
      </c>
    </row>
    <row r="15" customFormat="false" ht="15" hidden="false" customHeight="false" outlineLevel="0" collapsed="false">
      <c r="A15" s="3" t="s">
        <v>16</v>
      </c>
    </row>
    <row r="16" customFormat="false" ht="15" hidden="false" customHeight="false" outlineLevel="0" collapsed="false">
      <c r="A16" s="2" t="s">
        <v>17</v>
      </c>
    </row>
    <row r="17" customFormat="false" ht="29.85" hidden="false" customHeight="false" outlineLevel="0" collapsed="false">
      <c r="A17" s="4" t="s">
        <v>18</v>
      </c>
      <c r="B17" s="4" t="s">
        <v>19</v>
      </c>
      <c r="C17" s="9" t="s">
        <v>20</v>
      </c>
      <c r="D17" s="4" t="s">
        <v>21</v>
      </c>
      <c r="E17" s="4" t="s">
        <v>22</v>
      </c>
      <c r="F17" s="4" t="s">
        <v>23</v>
      </c>
      <c r="G17" s="4" t="s">
        <v>24</v>
      </c>
      <c r="H17" s="9" t="s">
        <v>25</v>
      </c>
      <c r="I17" s="9" t="s">
        <v>26</v>
      </c>
      <c r="J17" s="4" t="s">
        <v>27</v>
      </c>
      <c r="K17" s="9" t="s">
        <v>28</v>
      </c>
    </row>
    <row r="18" customFormat="false" ht="15" hidden="false" customHeight="false" outlineLevel="0" collapsed="false">
      <c r="A18" s="10" t="n">
        <v>1</v>
      </c>
      <c r="B18" s="10" t="s">
        <v>29</v>
      </c>
      <c r="C18" s="10" t="s">
        <v>30</v>
      </c>
      <c r="D18" s="11" t="n">
        <v>116</v>
      </c>
      <c r="E18" s="11" t="n">
        <v>88723</v>
      </c>
      <c r="F18" s="11" t="n">
        <v>765</v>
      </c>
      <c r="G18" s="11" t="n">
        <v>75</v>
      </c>
      <c r="H18" s="12" t="n">
        <f aca="false">IF(D18=0,"-",G18/D18)</f>
        <v>0.646551724137931</v>
      </c>
      <c r="I18" s="12" t="n">
        <f aca="false">IF(E18=0,"-",G18/E18*1000)</f>
        <v>0.845327592619727</v>
      </c>
      <c r="J18" s="13" t="n">
        <v>0.519</v>
      </c>
      <c r="K18" s="11" t="n">
        <v>37</v>
      </c>
    </row>
    <row r="19" customFormat="false" ht="15" hidden="false" customHeight="false" outlineLevel="0" collapsed="false">
      <c r="A19" s="10" t="n">
        <v>2</v>
      </c>
      <c r="B19" s="14" t="s">
        <v>31</v>
      </c>
      <c r="C19" s="10" t="s">
        <v>32</v>
      </c>
      <c r="D19" s="11" t="n">
        <v>24</v>
      </c>
      <c r="E19" s="11" t="n">
        <v>35789</v>
      </c>
      <c r="F19" s="11" t="n">
        <v>1491</v>
      </c>
      <c r="G19" s="11" t="n">
        <v>12</v>
      </c>
      <c r="H19" s="12" t="n">
        <f aca="false">IF(D19=0,"-",G19/D19)</f>
        <v>0.5</v>
      </c>
      <c r="I19" s="12" t="n">
        <f aca="false">IF(E19=0,"-",G19/E19*1000)</f>
        <v>0.335298555422057</v>
      </c>
      <c r="J19" s="13" t="n">
        <v>0.665</v>
      </c>
      <c r="K19" s="11" t="n">
        <v>11</v>
      </c>
    </row>
    <row r="20" customFormat="false" ht="15" hidden="false" customHeight="false" outlineLevel="0" collapsed="false">
      <c r="A20" s="8" t="n">
        <v>3</v>
      </c>
      <c r="B20" s="7" t="s">
        <v>33</v>
      </c>
      <c r="C20" s="8" t="s">
        <v>34</v>
      </c>
      <c r="D20" s="6" t="n">
        <v>23</v>
      </c>
      <c r="E20" s="6" t="n">
        <v>33956</v>
      </c>
      <c r="F20" s="6" t="n">
        <v>1476</v>
      </c>
      <c r="G20" s="6" t="n">
        <v>11</v>
      </c>
      <c r="H20" s="15" t="n">
        <f aca="false">IF(D20=0,"-",G20/D20)</f>
        <v>0.478260869565217</v>
      </c>
      <c r="I20" s="15" t="n">
        <f aca="false">IF(E20=0,"-",G20/E20*1000)</f>
        <v>0.323948639415714</v>
      </c>
      <c r="J20" s="16" t="n">
        <v>0.601</v>
      </c>
      <c r="K20" s="6" t="n">
        <v>9</v>
      </c>
    </row>
    <row r="21" customFormat="false" ht="15" hidden="false" customHeight="false" outlineLevel="0" collapsed="false">
      <c r="A21" s="8" t="n">
        <v>4</v>
      </c>
      <c r="B21" s="7" t="s">
        <v>35</v>
      </c>
      <c r="C21" s="8" t="s">
        <v>36</v>
      </c>
      <c r="D21" s="6" t="n">
        <v>121</v>
      </c>
      <c r="E21" s="6" t="n">
        <v>110322</v>
      </c>
      <c r="F21" s="6" t="n">
        <v>912</v>
      </c>
      <c r="G21" s="6" t="n">
        <v>36</v>
      </c>
      <c r="H21" s="15" t="n">
        <f aca="false">IF(D21=0,"-",G21/D21)</f>
        <v>0.297520661157025</v>
      </c>
      <c r="I21" s="15" t="n">
        <f aca="false">IF(E21=0,"-",G21/E21*1000)</f>
        <v>0.326317506934247</v>
      </c>
      <c r="J21" s="16" t="n">
        <v>0.59</v>
      </c>
      <c r="K21" s="6" t="n">
        <v>8</v>
      </c>
    </row>
    <row r="22" customFormat="false" ht="15" hidden="false" customHeight="false" outlineLevel="0" collapsed="false">
      <c r="A22" s="17" t="n">
        <v>5</v>
      </c>
      <c r="B22" s="17" t="s">
        <v>37</v>
      </c>
      <c r="C22" s="17" t="s">
        <v>38</v>
      </c>
      <c r="D22" s="18" t="n">
        <v>15</v>
      </c>
      <c r="E22" s="18" t="n">
        <v>16328</v>
      </c>
      <c r="F22" s="18" t="n">
        <v>1089</v>
      </c>
      <c r="G22" s="18" t="n">
        <v>3</v>
      </c>
      <c r="H22" s="19" t="n">
        <f aca="false">IF(D22=0,"-",G22/D22)</f>
        <v>0.2</v>
      </c>
      <c r="I22" s="19" t="n">
        <f aca="false">IF(E22=0,"-",G22/E22*1000)</f>
        <v>0.183733463988241</v>
      </c>
      <c r="J22" s="20" t="n">
        <v>0.642</v>
      </c>
      <c r="K22" s="18" t="n">
        <v>4</v>
      </c>
    </row>
    <row r="23" customFormat="false" ht="15" hidden="false" customHeight="false" outlineLevel="0" collapsed="false">
      <c r="A23" s="5"/>
      <c r="B23" s="5" t="s">
        <v>39</v>
      </c>
      <c r="C23" s="5"/>
      <c r="D23" s="21" t="n">
        <f aca="false">SUM(D18:D22)</f>
        <v>299</v>
      </c>
      <c r="E23" s="21" t="n">
        <f aca="false">SUM(E18:E22)</f>
        <v>285118</v>
      </c>
      <c r="F23" s="21" t="n">
        <f aca="false">IF(D23=0,"-",E23/D23)</f>
        <v>953.571906354515</v>
      </c>
      <c r="G23" s="21" t="n">
        <f aca="false">SUM(G18:G22)</f>
        <v>137</v>
      </c>
      <c r="H23" s="5"/>
      <c r="I23" s="5"/>
      <c r="J23" s="22"/>
      <c r="K23" s="21" t="n">
        <f aca="false">SUM(K18:K22)</f>
        <v>69</v>
      </c>
    </row>
    <row r="25" customFormat="false" ht="15" hidden="false" customHeight="false" outlineLevel="0" collapsed="false">
      <c r="A25" s="3" t="s">
        <v>40</v>
      </c>
    </row>
    <row r="26" customFormat="false" ht="30" hidden="false" customHeight="true" outlineLevel="0" collapsed="false">
      <c r="A26" s="23" t="s">
        <v>41</v>
      </c>
      <c r="B26" s="23"/>
      <c r="C26" s="23"/>
      <c r="D26" s="23"/>
      <c r="E26" s="23"/>
      <c r="F26" s="23"/>
      <c r="G26" s="23"/>
      <c r="H26" s="23"/>
      <c r="I26" s="23"/>
      <c r="J26" s="23"/>
      <c r="K26" s="23"/>
    </row>
    <row r="27" customFormat="false" ht="30" hidden="false" customHeight="true" outlineLevel="0" collapsed="false">
      <c r="A27" s="23" t="s">
        <v>42</v>
      </c>
      <c r="B27" s="23"/>
      <c r="C27" s="23"/>
      <c r="D27" s="23"/>
      <c r="E27" s="23"/>
      <c r="F27" s="23"/>
      <c r="G27" s="23"/>
      <c r="H27" s="23"/>
      <c r="I27" s="23"/>
      <c r="J27" s="23"/>
      <c r="K27" s="23"/>
    </row>
    <row r="28" customFormat="false" ht="30" hidden="false" customHeight="true" outlineLevel="0" collapsed="false">
      <c r="A28" s="23" t="s">
        <v>43</v>
      </c>
      <c r="B28" s="23"/>
      <c r="C28" s="23"/>
      <c r="D28" s="23"/>
      <c r="E28" s="23"/>
      <c r="F28" s="23"/>
      <c r="G28" s="23"/>
      <c r="H28" s="23"/>
      <c r="I28" s="23"/>
      <c r="J28" s="23"/>
      <c r="K28" s="23"/>
    </row>
    <row r="29" customFormat="false" ht="30" hidden="false" customHeight="true" outlineLevel="0" collapsed="false">
      <c r="A29" s="23" t="s">
        <v>44</v>
      </c>
      <c r="B29" s="23"/>
      <c r="C29" s="23"/>
      <c r="D29" s="23"/>
      <c r="E29" s="23"/>
      <c r="F29" s="23"/>
      <c r="G29" s="23"/>
      <c r="H29" s="23"/>
      <c r="I29" s="23"/>
      <c r="J29" s="23"/>
      <c r="K29" s="23"/>
    </row>
    <row r="30" customFormat="false" ht="30" hidden="false" customHeight="true" outlineLevel="0" collapsed="false">
      <c r="A30" s="23" t="s">
        <v>45</v>
      </c>
      <c r="B30" s="23"/>
      <c r="C30" s="23"/>
      <c r="D30" s="23"/>
      <c r="E30" s="23"/>
      <c r="F30" s="23"/>
      <c r="G30" s="23"/>
      <c r="H30" s="23"/>
      <c r="I30" s="23"/>
      <c r="J30" s="23"/>
      <c r="K30" s="23"/>
    </row>
    <row r="31" customFormat="false" ht="30" hidden="false" customHeight="true" outlineLevel="0" collapsed="false">
      <c r="A31" s="23" t="s">
        <v>46</v>
      </c>
      <c r="B31" s="23"/>
      <c r="C31" s="23"/>
      <c r="D31" s="23"/>
      <c r="E31" s="23"/>
      <c r="F31" s="23"/>
      <c r="G31" s="23"/>
      <c r="H31" s="23"/>
      <c r="I31" s="23"/>
      <c r="J31" s="23"/>
      <c r="K31" s="23"/>
    </row>
  </sheetData>
  <mergeCells count="6">
    <mergeCell ref="A26:K26"/>
    <mergeCell ref="A27:K27"/>
    <mergeCell ref="A28:K28"/>
    <mergeCell ref="A29:K29"/>
    <mergeCell ref="A30:K30"/>
    <mergeCell ref="A31:K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3" min="3" style="0" width="9"/>
    <col collapsed="false" customWidth="true" hidden="false" outlineLevel="0" max="4" min="4" style="0" width="11"/>
    <col collapsed="false" customWidth="true" hidden="false" outlineLevel="0" max="5" min="5" style="0" width="10"/>
    <col collapsed="false" customWidth="true" hidden="false" outlineLevel="0" max="6" min="6" style="0" width="13"/>
    <col collapsed="false" customWidth="true" hidden="false" outlineLevel="0" max="7" min="7" style="0" width="12"/>
    <col collapsed="false" customWidth="true" hidden="false" outlineLevel="0" max="8" min="8" style="0" width="9"/>
    <col collapsed="false" customWidth="true" hidden="false" outlineLevel="0" max="13" min="9" style="0" width="10"/>
    <col collapsed="false" customWidth="true" hidden="false" outlineLevel="0" max="14" min="14" style="0" width="15"/>
    <col collapsed="false" customWidth="true" hidden="false" outlineLevel="0" max="15" min="15" style="0" width="13"/>
    <col collapsed="false" customWidth="true" hidden="false" outlineLevel="0" max="19" min="16" style="0" width="8"/>
    <col collapsed="false" customWidth="true" hidden="false" outlineLevel="0" max="20" min="20" style="0" width="9"/>
  </cols>
  <sheetData>
    <row r="1" customFormat="false" ht="17.35" hidden="false" customHeight="false" outlineLevel="0" collapsed="false">
      <c r="A1" s="24" t="s">
        <v>47</v>
      </c>
    </row>
    <row r="2" customFormat="false" ht="15" hidden="false" customHeight="false" outlineLevel="0" collapsed="false">
      <c r="A2" s="25" t="s">
        <v>48</v>
      </c>
    </row>
    <row r="4" customFormat="false" ht="29.85" hidden="false" customHeight="false" outlineLevel="0" collapsed="false">
      <c r="A4" s="4" t="s">
        <v>19</v>
      </c>
      <c r="B4" s="9" t="s">
        <v>20</v>
      </c>
      <c r="C4" s="4" t="s">
        <v>49</v>
      </c>
      <c r="D4" s="4" t="s">
        <v>22</v>
      </c>
      <c r="E4" s="4" t="s">
        <v>23</v>
      </c>
      <c r="F4" s="4" t="s">
        <v>27</v>
      </c>
      <c r="G4" s="4" t="s">
        <v>50</v>
      </c>
      <c r="H4" s="4" t="s">
        <v>51</v>
      </c>
      <c r="I4" s="4" t="s">
        <v>52</v>
      </c>
      <c r="J4" s="4" t="s">
        <v>53</v>
      </c>
      <c r="K4" s="9" t="s">
        <v>54</v>
      </c>
      <c r="L4" s="9" t="s">
        <v>55</v>
      </c>
      <c r="M4" s="9" t="s">
        <v>56</v>
      </c>
      <c r="N4" s="9" t="s">
        <v>57</v>
      </c>
      <c r="O4" s="4" t="s">
        <v>58</v>
      </c>
      <c r="P4" s="4" t="s">
        <v>59</v>
      </c>
      <c r="Q4" s="4" t="s">
        <v>60</v>
      </c>
      <c r="R4" s="4" t="s">
        <v>61</v>
      </c>
      <c r="S4" s="9" t="s">
        <v>62</v>
      </c>
      <c r="T4" s="4" t="s">
        <v>63</v>
      </c>
    </row>
    <row r="5" customFormat="false" ht="15" hidden="false" customHeight="false" outlineLevel="0" collapsed="false">
      <c r="A5" s="8" t="s">
        <v>29</v>
      </c>
      <c r="B5" s="8" t="s">
        <v>30</v>
      </c>
      <c r="C5" s="6" t="n">
        <v>116</v>
      </c>
      <c r="D5" s="6" t="n">
        <v>88723</v>
      </c>
      <c r="E5" s="6" t="n">
        <v>765</v>
      </c>
      <c r="F5" s="16" t="n">
        <v>0.519</v>
      </c>
      <c r="G5" s="26" t="n">
        <v>17.2</v>
      </c>
      <c r="H5" s="6" t="n">
        <v>411</v>
      </c>
      <c r="I5" s="6" t="n">
        <v>14</v>
      </c>
      <c r="J5" s="27" t="n">
        <f aca="false">IF(D5=0,"-",H5/D5)</f>
        <v>0.0046323952075561</v>
      </c>
      <c r="K5" s="6" t="n">
        <v>46</v>
      </c>
      <c r="L5" s="6" t="n">
        <v>9</v>
      </c>
      <c r="M5" s="6" t="n">
        <v>37</v>
      </c>
      <c r="N5" s="6" t="n">
        <v>4976</v>
      </c>
      <c r="O5" s="28" t="n">
        <v>6.95</v>
      </c>
      <c r="P5" s="28" t="n">
        <v>7.35</v>
      </c>
      <c r="Q5" s="28" t="n">
        <v>7.07</v>
      </c>
      <c r="R5" s="28" t="n">
        <v>7.27</v>
      </c>
      <c r="S5" s="28" t="n">
        <v>6.3</v>
      </c>
      <c r="T5" s="28" t="n">
        <v>7.01</v>
      </c>
    </row>
    <row r="6" customFormat="false" ht="15" hidden="false" customHeight="false" outlineLevel="0" collapsed="false">
      <c r="A6" s="7" t="s">
        <v>31</v>
      </c>
      <c r="B6" s="8" t="s">
        <v>32</v>
      </c>
      <c r="C6" s="6" t="n">
        <v>24</v>
      </c>
      <c r="D6" s="6" t="n">
        <v>35789</v>
      </c>
      <c r="E6" s="6" t="n">
        <v>1491</v>
      </c>
      <c r="F6" s="16" t="n">
        <v>0.665</v>
      </c>
      <c r="G6" s="26" t="n">
        <v>18</v>
      </c>
      <c r="H6" s="6" t="n">
        <v>118</v>
      </c>
      <c r="I6" s="6" t="n">
        <v>4</v>
      </c>
      <c r="J6" s="27" t="n">
        <f aca="false">IF(D6=0,"-",H6/D6)</f>
        <v>0.00329710246165023</v>
      </c>
      <c r="K6" s="6" t="n">
        <v>15</v>
      </c>
      <c r="L6" s="6" t="n">
        <v>4</v>
      </c>
      <c r="M6" s="6" t="n">
        <v>11</v>
      </c>
      <c r="N6" s="6" t="n">
        <v>4307</v>
      </c>
      <c r="O6" s="28" t="n">
        <v>7.25</v>
      </c>
      <c r="P6" s="28" t="n">
        <v>7</v>
      </c>
      <c r="Q6" s="28" t="n">
        <v>7.54</v>
      </c>
      <c r="R6" s="28" t="n">
        <v>8.79</v>
      </c>
      <c r="S6" s="28" t="n">
        <v>6.88</v>
      </c>
      <c r="T6" s="28" t="n">
        <v>6.17</v>
      </c>
    </row>
    <row r="7" customFormat="false" ht="15" hidden="false" customHeight="false" outlineLevel="0" collapsed="false">
      <c r="A7" s="7" t="s">
        <v>33</v>
      </c>
      <c r="B7" s="8" t="s">
        <v>34</v>
      </c>
      <c r="C7" s="6" t="n">
        <v>23</v>
      </c>
      <c r="D7" s="6" t="n">
        <v>33956</v>
      </c>
      <c r="E7" s="6" t="n">
        <v>1476</v>
      </c>
      <c r="F7" s="16" t="n">
        <v>0.601</v>
      </c>
      <c r="G7" s="26" t="n">
        <v>16.9</v>
      </c>
      <c r="H7" s="6" t="n">
        <v>118</v>
      </c>
      <c r="I7" s="6" t="n">
        <v>2</v>
      </c>
      <c r="J7" s="27" t="n">
        <f aca="false">IF(D7=0,"-",H7/D7)</f>
        <v>0.0034750854046413</v>
      </c>
      <c r="K7" s="6" t="n">
        <v>14</v>
      </c>
      <c r="L7" s="6" t="n">
        <v>5</v>
      </c>
      <c r="M7" s="6" t="n">
        <v>9</v>
      </c>
      <c r="N7" s="6" t="n">
        <v>3844</v>
      </c>
      <c r="O7" s="28" t="n">
        <v>6.66</v>
      </c>
      <c r="P7" s="28" t="n">
        <v>6.44</v>
      </c>
      <c r="Q7" s="28" t="n">
        <v>5.05</v>
      </c>
      <c r="R7" s="28" t="n">
        <v>9</v>
      </c>
      <c r="S7" s="28" t="n">
        <v>6.75</v>
      </c>
      <c r="T7" s="28" t="n">
        <v>6.29</v>
      </c>
    </row>
    <row r="8" customFormat="false" ht="15" hidden="false" customHeight="false" outlineLevel="0" collapsed="false">
      <c r="A8" s="7" t="s">
        <v>35</v>
      </c>
      <c r="B8" s="8" t="s">
        <v>36</v>
      </c>
      <c r="C8" s="6" t="n">
        <v>121</v>
      </c>
      <c r="D8" s="6" t="n">
        <v>110322</v>
      </c>
      <c r="E8" s="6" t="n">
        <v>912</v>
      </c>
      <c r="F8" s="16" t="n">
        <v>0.59</v>
      </c>
      <c r="G8" s="26" t="n">
        <v>17.3</v>
      </c>
      <c r="H8" s="6" t="n">
        <v>470</v>
      </c>
      <c r="I8" s="6" t="n">
        <v>13</v>
      </c>
      <c r="J8" s="27" t="n">
        <f aca="false">IF(D8=0,"-",H8/D8)</f>
        <v>0.00426025634053045</v>
      </c>
      <c r="K8" s="6" t="n">
        <v>17</v>
      </c>
      <c r="L8" s="6" t="n">
        <v>9</v>
      </c>
      <c r="M8" s="6" t="n">
        <v>8</v>
      </c>
      <c r="N8" s="6" t="n">
        <v>4218</v>
      </c>
      <c r="O8" s="28" t="n">
        <v>6.27</v>
      </c>
      <c r="P8" s="28" t="n">
        <v>6.3</v>
      </c>
      <c r="Q8" s="28" t="n">
        <v>6.53</v>
      </c>
      <c r="R8" s="28" t="n">
        <v>6.69</v>
      </c>
      <c r="S8" s="28" t="n">
        <v>5.62</v>
      </c>
      <c r="T8" s="28" t="n">
        <v>6.3</v>
      </c>
    </row>
    <row r="9" customFormat="false" ht="15" hidden="false" customHeight="false" outlineLevel="0" collapsed="false">
      <c r="A9" s="8" t="s">
        <v>37</v>
      </c>
      <c r="B9" s="8" t="s">
        <v>38</v>
      </c>
      <c r="C9" s="6" t="n">
        <v>15</v>
      </c>
      <c r="D9" s="6" t="n">
        <v>16328</v>
      </c>
      <c r="E9" s="6" t="n">
        <v>1089</v>
      </c>
      <c r="F9" s="16" t="n">
        <v>0.642</v>
      </c>
      <c r="G9" s="26" t="n">
        <v>15</v>
      </c>
      <c r="H9" s="6" t="n">
        <v>35</v>
      </c>
      <c r="I9" s="6" t="n">
        <v>3</v>
      </c>
      <c r="J9" s="27" t="n">
        <f aca="false">IF(D9=0,"-",H9/D9)</f>
        <v>0.00214355707986281</v>
      </c>
      <c r="K9" s="6" t="n">
        <v>5</v>
      </c>
      <c r="L9" s="6" t="n">
        <v>1</v>
      </c>
      <c r="M9" s="6" t="n">
        <v>4</v>
      </c>
      <c r="N9" s="6" t="n">
        <v>2057</v>
      </c>
      <c r="O9" s="28" t="n">
        <v>7.28</v>
      </c>
      <c r="P9" s="28" t="n">
        <v>6.79</v>
      </c>
      <c r="Q9" s="28" t="n">
        <v>6.27</v>
      </c>
      <c r="R9" s="28" t="n">
        <v>9.86</v>
      </c>
      <c r="S9" s="28" t="n">
        <v>7.62</v>
      </c>
      <c r="T9" s="28" t="n">
        <v>6.14</v>
      </c>
    </row>
    <row r="11" customFormat="false" ht="15" hidden="false" customHeight="false" outlineLevel="0" collapsed="false">
      <c r="A11" s="2" t="s">
        <v>64</v>
      </c>
    </row>
    <row r="12" customFormat="false" ht="15" hidden="false" customHeight="false" outlineLevel="0" collapsed="false">
      <c r="A12" s="2"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70"/>
    <col collapsed="false" customWidth="true" hidden="false" outlineLevel="0" max="4" min="4" style="0" width="10"/>
    <col collapsed="false" customWidth="true" hidden="false" outlineLevel="0" max="5" min="5" style="0" width="11"/>
    <col collapsed="false" customWidth="true" hidden="false" outlineLevel="0" max="6" min="6" style="0" width="13"/>
    <col collapsed="false" customWidth="true" hidden="false" outlineLevel="0" max="7" min="7" style="0" width="11"/>
    <col collapsed="false" customWidth="true" hidden="false" outlineLevel="0" max="8" min="8" style="0" width="8"/>
    <col collapsed="false" customWidth="true" hidden="false" outlineLevel="0" max="9" min="9" style="0" width="10"/>
    <col collapsed="false" customWidth="true" hidden="false" outlineLevel="0" max="10" min="10" style="0" width="18"/>
    <col collapsed="false" customWidth="true" hidden="false" outlineLevel="0" max="11" min="11" style="0" width="12"/>
  </cols>
  <sheetData>
    <row r="1" customFormat="false" ht="21.6" hidden="false" customHeight="false" outlineLevel="0" collapsed="false">
      <c r="A1" s="24" t="s">
        <v>66</v>
      </c>
    </row>
    <row r="2" customFormat="false" ht="15" hidden="false" customHeight="false" outlineLevel="0" collapsed="false">
      <c r="A2" s="2" t="s">
        <v>67</v>
      </c>
    </row>
    <row r="4" customFormat="false" ht="29.85" hidden="false" customHeight="false" outlineLevel="0" collapsed="false">
      <c r="A4" s="4" t="s">
        <v>19</v>
      </c>
      <c r="B4" s="4" t="s">
        <v>68</v>
      </c>
      <c r="C4" s="4" t="s">
        <v>69</v>
      </c>
      <c r="D4" s="4" t="s">
        <v>70</v>
      </c>
      <c r="E4" s="4" t="s">
        <v>71</v>
      </c>
      <c r="F4" s="4" t="s">
        <v>50</v>
      </c>
      <c r="G4" s="4" t="s">
        <v>72</v>
      </c>
      <c r="H4" s="4" t="s">
        <v>51</v>
      </c>
      <c r="I4" s="4" t="s">
        <v>52</v>
      </c>
      <c r="J4" s="9" t="s">
        <v>26</v>
      </c>
      <c r="K4" s="4" t="s">
        <v>73</v>
      </c>
    </row>
    <row r="5" customFormat="false" ht="15" hidden="false" customHeight="false" outlineLevel="0" collapsed="false">
      <c r="A5" s="14" t="s">
        <v>31</v>
      </c>
      <c r="B5" s="10" t="s">
        <v>74</v>
      </c>
      <c r="C5" s="10" t="s">
        <v>75</v>
      </c>
      <c r="D5" s="11" t="n">
        <v>2386</v>
      </c>
      <c r="E5" s="13" t="n">
        <v>1.03</v>
      </c>
      <c r="F5" s="29" t="n">
        <v>24</v>
      </c>
      <c r="G5" s="11" t="n">
        <v>1</v>
      </c>
      <c r="H5" s="11" t="n">
        <v>7</v>
      </c>
      <c r="I5" s="11" t="n">
        <v>0</v>
      </c>
      <c r="J5" s="12" t="n">
        <f aca="false">IF(D5=0,"-",G5/D5*1000)</f>
        <v>0.419111483654652</v>
      </c>
      <c r="K5" s="14" t="s">
        <v>76</v>
      </c>
    </row>
    <row r="6" customFormat="false" ht="15" hidden="false" customHeight="false" outlineLevel="0" collapsed="false">
      <c r="A6" s="14" t="s">
        <v>33</v>
      </c>
      <c r="B6" s="10" t="s">
        <v>77</v>
      </c>
      <c r="C6" s="14" t="s">
        <v>78</v>
      </c>
      <c r="D6" s="11" t="n">
        <v>2339</v>
      </c>
      <c r="E6" s="13" t="n">
        <v>0.343</v>
      </c>
      <c r="F6" s="29" t="n">
        <v>10</v>
      </c>
      <c r="G6" s="11" t="n">
        <v>0</v>
      </c>
      <c r="H6" s="11" t="n">
        <v>3</v>
      </c>
      <c r="I6" s="11" t="n">
        <v>0</v>
      </c>
      <c r="J6" s="12" t="n">
        <f aca="false">IF(D6=0,"-",G6/D6*1000)</f>
        <v>0</v>
      </c>
      <c r="K6" s="14" t="s">
        <v>76</v>
      </c>
    </row>
    <row r="7" customFormat="false" ht="15" hidden="false" customHeight="false" outlineLevel="0" collapsed="false">
      <c r="A7" s="14" t="s">
        <v>33</v>
      </c>
      <c r="B7" s="10" t="s">
        <v>79</v>
      </c>
      <c r="C7" s="14" t="s">
        <v>80</v>
      </c>
      <c r="D7" s="11" t="n">
        <v>2229</v>
      </c>
      <c r="E7" s="13" t="n">
        <v>0.863</v>
      </c>
      <c r="F7" s="29" t="n">
        <v>26</v>
      </c>
      <c r="G7" s="11" t="n">
        <v>0</v>
      </c>
      <c r="H7" s="11" t="n">
        <v>11</v>
      </c>
      <c r="I7" s="11" t="n">
        <v>0</v>
      </c>
      <c r="J7" s="12" t="n">
        <f aca="false">IF(D7=0,"-",G7/D7*1000)</f>
        <v>0</v>
      </c>
      <c r="K7" s="14" t="s">
        <v>76</v>
      </c>
    </row>
    <row r="8" customFormat="false" ht="15" hidden="false" customHeight="false" outlineLevel="0" collapsed="false">
      <c r="A8" s="14" t="s">
        <v>31</v>
      </c>
      <c r="B8" s="10" t="s">
        <v>81</v>
      </c>
      <c r="C8" s="14" t="s">
        <v>82</v>
      </c>
      <c r="D8" s="11" t="n">
        <v>2059</v>
      </c>
      <c r="E8" s="13" t="n">
        <v>0.591</v>
      </c>
      <c r="F8" s="29" t="n">
        <v>14</v>
      </c>
      <c r="G8" s="11" t="n">
        <v>0</v>
      </c>
      <c r="H8" s="11" t="n">
        <v>5</v>
      </c>
      <c r="I8" s="11" t="n">
        <v>0</v>
      </c>
      <c r="J8" s="12" t="n">
        <f aca="false">IF(D8=0,"-",G8/D8*1000)</f>
        <v>0</v>
      </c>
      <c r="K8" s="14" t="s">
        <v>76</v>
      </c>
    </row>
    <row r="9" customFormat="false" ht="15" hidden="false" customHeight="false" outlineLevel="0" collapsed="false">
      <c r="A9" s="14" t="s">
        <v>31</v>
      </c>
      <c r="B9" s="10" t="s">
        <v>77</v>
      </c>
      <c r="C9" s="14" t="s">
        <v>83</v>
      </c>
      <c r="D9" s="11" t="n">
        <v>1967</v>
      </c>
      <c r="E9" s="13" t="n">
        <v>0.697</v>
      </c>
      <c r="F9" s="29" t="n">
        <v>19</v>
      </c>
      <c r="G9" s="11" t="n">
        <v>0</v>
      </c>
      <c r="H9" s="11" t="n">
        <v>5</v>
      </c>
      <c r="I9" s="11" t="n">
        <v>0</v>
      </c>
      <c r="J9" s="12" t="n">
        <f aca="false">IF(D9=0,"-",G9/D9*1000)</f>
        <v>0</v>
      </c>
      <c r="K9" s="14" t="s">
        <v>76</v>
      </c>
    </row>
    <row r="10" customFormat="false" ht="15" hidden="false" customHeight="false" outlineLevel="0" collapsed="false">
      <c r="A10" s="14" t="s">
        <v>33</v>
      </c>
      <c r="B10" s="10" t="s">
        <v>84</v>
      </c>
      <c r="C10" s="14" t="s">
        <v>85</v>
      </c>
      <c r="D10" s="11" t="n">
        <v>1943</v>
      </c>
      <c r="E10" s="13" t="n">
        <v>0.767</v>
      </c>
      <c r="F10" s="29" t="n">
        <v>25</v>
      </c>
      <c r="G10" s="11" t="n">
        <v>0</v>
      </c>
      <c r="H10" s="11" t="n">
        <v>2</v>
      </c>
      <c r="I10" s="11" t="n">
        <v>0</v>
      </c>
      <c r="J10" s="12" t="n">
        <f aca="false">IF(D10=0,"-",G10/D10*1000)</f>
        <v>0</v>
      </c>
      <c r="K10" s="14" t="s">
        <v>76</v>
      </c>
    </row>
    <row r="11" customFormat="false" ht="15" hidden="false" customHeight="false" outlineLevel="0" collapsed="false">
      <c r="A11" s="14" t="s">
        <v>31</v>
      </c>
      <c r="B11" s="10" t="s">
        <v>86</v>
      </c>
      <c r="C11" s="14" t="s">
        <v>87</v>
      </c>
      <c r="D11" s="11" t="n">
        <v>1940</v>
      </c>
      <c r="E11" s="13" t="n">
        <v>0.901</v>
      </c>
      <c r="F11" s="29" t="n">
        <v>16</v>
      </c>
      <c r="G11" s="11" t="n">
        <v>0</v>
      </c>
      <c r="H11" s="11" t="n">
        <v>10</v>
      </c>
      <c r="I11" s="11" t="n">
        <v>0</v>
      </c>
      <c r="J11" s="12" t="n">
        <f aca="false">IF(D11=0,"-",G11/D11*1000)</f>
        <v>0</v>
      </c>
      <c r="K11" s="14" t="s">
        <v>76</v>
      </c>
    </row>
    <row r="12" customFormat="false" ht="15" hidden="false" customHeight="false" outlineLevel="0" collapsed="false">
      <c r="A12" s="7" t="s">
        <v>33</v>
      </c>
      <c r="B12" s="8" t="s">
        <v>88</v>
      </c>
      <c r="C12" s="7" t="s">
        <v>89</v>
      </c>
      <c r="D12" s="6" t="n">
        <v>1914</v>
      </c>
      <c r="E12" s="16" t="n">
        <v>0.544</v>
      </c>
      <c r="F12" s="26" t="n">
        <v>17</v>
      </c>
      <c r="G12" s="6" t="n">
        <v>0</v>
      </c>
      <c r="H12" s="6" t="n">
        <v>8</v>
      </c>
      <c r="I12" s="6" t="n">
        <v>0</v>
      </c>
      <c r="J12" s="15" t="n">
        <f aca="false">IF(D12=0,"-",G12/D12*1000)</f>
        <v>0</v>
      </c>
      <c r="K12" s="7" t="s">
        <v>90</v>
      </c>
    </row>
    <row r="13" customFormat="false" ht="15" hidden="false" customHeight="false" outlineLevel="0" collapsed="false">
      <c r="A13" s="7" t="s">
        <v>33</v>
      </c>
      <c r="B13" s="8" t="s">
        <v>91</v>
      </c>
      <c r="C13" s="7" t="s">
        <v>92</v>
      </c>
      <c r="D13" s="6" t="n">
        <v>1899</v>
      </c>
      <c r="E13" s="16" t="n">
        <v>0.576</v>
      </c>
      <c r="F13" s="26" t="n">
        <v>19</v>
      </c>
      <c r="G13" s="6" t="n">
        <v>1</v>
      </c>
      <c r="H13" s="6" t="n">
        <v>7</v>
      </c>
      <c r="I13" s="6" t="n">
        <v>0</v>
      </c>
      <c r="J13" s="15" t="n">
        <f aca="false">IF(D13=0,"-",G13/D13*1000)</f>
        <v>0.526592943654555</v>
      </c>
      <c r="K13" s="7" t="s">
        <v>90</v>
      </c>
    </row>
    <row r="14" customFormat="false" ht="15" hidden="false" customHeight="false" outlineLevel="0" collapsed="false">
      <c r="A14" s="7" t="s">
        <v>33</v>
      </c>
      <c r="B14" s="8" t="s">
        <v>93</v>
      </c>
      <c r="C14" s="7" t="s">
        <v>94</v>
      </c>
      <c r="D14" s="6" t="n">
        <v>1887</v>
      </c>
      <c r="E14" s="16" t="n">
        <v>0.502</v>
      </c>
      <c r="F14" s="26" t="n">
        <v>17</v>
      </c>
      <c r="G14" s="6" t="n">
        <v>0</v>
      </c>
      <c r="H14" s="6" t="n">
        <v>5</v>
      </c>
      <c r="I14" s="6" t="n">
        <v>0</v>
      </c>
      <c r="J14" s="15" t="n">
        <f aca="false">IF(D14=0,"-",G14/D14*1000)</f>
        <v>0</v>
      </c>
      <c r="K14" s="7" t="s">
        <v>90</v>
      </c>
    </row>
    <row r="15" customFormat="false" ht="15" hidden="false" customHeight="false" outlineLevel="0" collapsed="false">
      <c r="A15" s="7" t="s">
        <v>33</v>
      </c>
      <c r="B15" s="8" t="s">
        <v>95</v>
      </c>
      <c r="C15" s="7" t="s">
        <v>96</v>
      </c>
      <c r="D15" s="6" t="n">
        <v>1818</v>
      </c>
      <c r="E15" s="16" t="n">
        <v>0.615</v>
      </c>
      <c r="F15" s="26" t="n">
        <v>20</v>
      </c>
      <c r="G15" s="6" t="n">
        <v>2</v>
      </c>
      <c r="H15" s="6" t="n">
        <v>6</v>
      </c>
      <c r="I15" s="6" t="n">
        <v>1</v>
      </c>
      <c r="J15" s="15" t="n">
        <f aca="false">IF(D15=0,"-",G15/D15*1000)</f>
        <v>1.1001100110011</v>
      </c>
      <c r="K15" s="7" t="s">
        <v>90</v>
      </c>
    </row>
    <row r="16" customFormat="false" ht="15" hidden="false" customHeight="false" outlineLevel="0" collapsed="false">
      <c r="A16" s="7" t="s">
        <v>31</v>
      </c>
      <c r="B16" s="8" t="s">
        <v>86</v>
      </c>
      <c r="C16" s="7" t="s">
        <v>97</v>
      </c>
      <c r="D16" s="6" t="n">
        <v>1790</v>
      </c>
      <c r="E16" s="16" t="n">
        <v>0.802</v>
      </c>
      <c r="F16" s="26" t="n">
        <v>16</v>
      </c>
      <c r="G16" s="6" t="n">
        <v>2</v>
      </c>
      <c r="H16" s="6" t="n">
        <v>4</v>
      </c>
      <c r="I16" s="6" t="n">
        <v>0</v>
      </c>
      <c r="J16" s="15" t="n">
        <f aca="false">IF(D16=0,"-",G16/D16*1000)</f>
        <v>1.11731843575419</v>
      </c>
      <c r="K16" s="7" t="s">
        <v>90</v>
      </c>
    </row>
    <row r="17" customFormat="false" ht="15" hidden="false" customHeight="false" outlineLevel="0" collapsed="false">
      <c r="A17" s="7" t="s">
        <v>31</v>
      </c>
      <c r="B17" s="8" t="s">
        <v>98</v>
      </c>
      <c r="C17" s="7" t="s">
        <v>99</v>
      </c>
      <c r="D17" s="6" t="n">
        <v>1789</v>
      </c>
      <c r="E17" s="16" t="n">
        <v>0.551</v>
      </c>
      <c r="F17" s="26" t="n">
        <v>16</v>
      </c>
      <c r="G17" s="6" t="n">
        <v>0</v>
      </c>
      <c r="H17" s="6" t="n">
        <v>7</v>
      </c>
      <c r="I17" s="6" t="n">
        <v>0</v>
      </c>
      <c r="J17" s="15" t="n">
        <f aca="false">IF(D17=0,"-",G17/D17*1000)</f>
        <v>0</v>
      </c>
      <c r="K17" s="7" t="s">
        <v>90</v>
      </c>
    </row>
    <row r="18" customFormat="false" ht="15" hidden="false" customHeight="false" outlineLevel="0" collapsed="false">
      <c r="A18" s="7" t="s">
        <v>33</v>
      </c>
      <c r="B18" s="8" t="s">
        <v>100</v>
      </c>
      <c r="C18" s="7" t="s">
        <v>101</v>
      </c>
      <c r="D18" s="6" t="n">
        <v>1703</v>
      </c>
      <c r="E18" s="16" t="n">
        <v>0.496</v>
      </c>
      <c r="F18" s="26" t="n">
        <v>13</v>
      </c>
      <c r="G18" s="6" t="n">
        <v>0</v>
      </c>
      <c r="H18" s="6" t="n">
        <v>7</v>
      </c>
      <c r="I18" s="6" t="n">
        <v>0</v>
      </c>
      <c r="J18" s="15" t="n">
        <f aca="false">IF(D18=0,"-",G18/D18*1000)</f>
        <v>0</v>
      </c>
      <c r="K18" s="7" t="s">
        <v>90</v>
      </c>
    </row>
    <row r="19" customFormat="false" ht="15" hidden="false" customHeight="false" outlineLevel="0" collapsed="false">
      <c r="A19" s="7" t="s">
        <v>31</v>
      </c>
      <c r="B19" s="8" t="s">
        <v>102</v>
      </c>
      <c r="C19" s="7" t="s">
        <v>103</v>
      </c>
      <c r="D19" s="6" t="n">
        <v>1696</v>
      </c>
      <c r="E19" s="16" t="n">
        <v>0.635</v>
      </c>
      <c r="F19" s="26" t="n">
        <v>20</v>
      </c>
      <c r="G19" s="6" t="n">
        <v>0</v>
      </c>
      <c r="H19" s="6" t="n">
        <v>8</v>
      </c>
      <c r="I19" s="6" t="n">
        <v>1</v>
      </c>
      <c r="J19" s="15" t="n">
        <f aca="false">IF(D19=0,"-",G19/D19*1000)</f>
        <v>0</v>
      </c>
      <c r="K19" s="7" t="s">
        <v>90</v>
      </c>
    </row>
    <row r="20" customFormat="false" ht="15" hidden="false" customHeight="false" outlineLevel="0" collapsed="false">
      <c r="A20" s="7" t="s">
        <v>33</v>
      </c>
      <c r="B20" s="8" t="s">
        <v>98</v>
      </c>
      <c r="C20" s="7" t="s">
        <v>104</v>
      </c>
      <c r="D20" s="6" t="n">
        <v>1691</v>
      </c>
      <c r="E20" s="16" t="n">
        <v>0.387</v>
      </c>
      <c r="F20" s="26" t="n">
        <v>10</v>
      </c>
      <c r="G20" s="6" t="n">
        <v>0</v>
      </c>
      <c r="H20" s="6" t="n">
        <v>4</v>
      </c>
      <c r="I20" s="6" t="n">
        <v>0</v>
      </c>
      <c r="J20" s="15" t="n">
        <f aca="false">IF(D20=0,"-",G20/D20*1000)</f>
        <v>0</v>
      </c>
      <c r="K20" s="7" t="s">
        <v>90</v>
      </c>
    </row>
    <row r="21" customFormat="false" ht="15" hidden="false" customHeight="false" outlineLevel="0" collapsed="false">
      <c r="A21" s="7" t="s">
        <v>31</v>
      </c>
      <c r="B21" s="8" t="s">
        <v>100</v>
      </c>
      <c r="C21" s="7" t="s">
        <v>105</v>
      </c>
      <c r="D21" s="6" t="n">
        <v>1674</v>
      </c>
      <c r="E21" s="16" t="n">
        <v>0.571</v>
      </c>
      <c r="F21" s="26" t="n">
        <v>15</v>
      </c>
      <c r="G21" s="6" t="n">
        <v>0</v>
      </c>
      <c r="H21" s="6" t="n">
        <v>0</v>
      </c>
      <c r="I21" s="6" t="n">
        <v>0</v>
      </c>
      <c r="J21" s="15" t="n">
        <f aca="false">IF(D21=0,"-",G21/D21*1000)</f>
        <v>0</v>
      </c>
      <c r="K21" s="7" t="s">
        <v>90</v>
      </c>
    </row>
    <row r="22" customFormat="false" ht="15" hidden="false" customHeight="false" outlineLevel="0" collapsed="false">
      <c r="A22" s="7" t="s">
        <v>33</v>
      </c>
      <c r="B22" s="8" t="s">
        <v>106</v>
      </c>
      <c r="C22" s="8" t="s">
        <v>107</v>
      </c>
      <c r="D22" s="6" t="n">
        <v>1667</v>
      </c>
      <c r="E22" s="16" t="n">
        <v>0.766</v>
      </c>
      <c r="F22" s="26" t="n">
        <v>26</v>
      </c>
      <c r="G22" s="6" t="n">
        <v>0</v>
      </c>
      <c r="H22" s="6" t="n">
        <v>4</v>
      </c>
      <c r="I22" s="6" t="n">
        <v>0</v>
      </c>
      <c r="J22" s="15" t="n">
        <f aca="false">IF(D22=0,"-",G22/D22*1000)</f>
        <v>0</v>
      </c>
      <c r="K22" s="7" t="s">
        <v>90</v>
      </c>
    </row>
    <row r="23" customFormat="false" ht="15" hidden="false" customHeight="false" outlineLevel="0" collapsed="false">
      <c r="A23" s="7" t="s">
        <v>31</v>
      </c>
      <c r="B23" s="8" t="s">
        <v>108</v>
      </c>
      <c r="C23" s="7" t="s">
        <v>109</v>
      </c>
      <c r="D23" s="6" t="n">
        <v>1662</v>
      </c>
      <c r="E23" s="16" t="n">
        <v>0.478</v>
      </c>
      <c r="F23" s="26" t="n">
        <v>14</v>
      </c>
      <c r="G23" s="6" t="n">
        <v>2</v>
      </c>
      <c r="H23" s="6" t="n">
        <v>4</v>
      </c>
      <c r="I23" s="6" t="n">
        <v>0</v>
      </c>
      <c r="J23" s="15" t="n">
        <f aca="false">IF(D23=0,"-",G23/D23*1000)</f>
        <v>1.20336943441637</v>
      </c>
      <c r="K23" s="7" t="s">
        <v>90</v>
      </c>
    </row>
    <row r="24" customFormat="false" ht="15" hidden="false" customHeight="false" outlineLevel="0" collapsed="false">
      <c r="A24" s="10" t="s">
        <v>37</v>
      </c>
      <c r="B24" s="10" t="s">
        <v>110</v>
      </c>
      <c r="C24" s="14" t="s">
        <v>111</v>
      </c>
      <c r="D24" s="11" t="n">
        <v>1652</v>
      </c>
      <c r="E24" s="13" t="n">
        <v>0.643</v>
      </c>
      <c r="F24" s="29" t="n">
        <v>15</v>
      </c>
      <c r="G24" s="11" t="n">
        <v>0</v>
      </c>
      <c r="H24" s="11" t="n">
        <v>4</v>
      </c>
      <c r="I24" s="11" t="n">
        <v>2</v>
      </c>
      <c r="J24" s="12" t="n">
        <f aca="false">IF(D24=0,"-",G24/D24*1000)</f>
        <v>0</v>
      </c>
      <c r="K24" s="14" t="s">
        <v>76</v>
      </c>
    </row>
    <row r="25" customFormat="false" ht="15" hidden="false" customHeight="false" outlineLevel="0" collapsed="false">
      <c r="A25" s="7" t="s">
        <v>33</v>
      </c>
      <c r="B25" s="8" t="s">
        <v>112</v>
      </c>
      <c r="C25" s="7" t="s">
        <v>113</v>
      </c>
      <c r="D25" s="6" t="n">
        <v>1648</v>
      </c>
      <c r="E25" s="16" t="n">
        <v>0.529</v>
      </c>
      <c r="F25" s="26" t="n">
        <v>16</v>
      </c>
      <c r="G25" s="6" t="n">
        <v>0</v>
      </c>
      <c r="H25" s="6" t="n">
        <v>4</v>
      </c>
      <c r="I25" s="6" t="n">
        <v>0</v>
      </c>
      <c r="J25" s="15" t="n">
        <f aca="false">IF(D25=0,"-",G25/D25*1000)</f>
        <v>0</v>
      </c>
      <c r="K25" s="7" t="s">
        <v>90</v>
      </c>
    </row>
    <row r="26" customFormat="false" ht="15" hidden="false" customHeight="false" outlineLevel="0" collapsed="false">
      <c r="A26" s="7" t="s">
        <v>31</v>
      </c>
      <c r="B26" s="8" t="s">
        <v>91</v>
      </c>
      <c r="C26" s="7" t="s">
        <v>114</v>
      </c>
      <c r="D26" s="6" t="n">
        <v>1626</v>
      </c>
      <c r="E26" s="16" t="n">
        <v>0.709</v>
      </c>
      <c r="F26" s="26" t="n">
        <v>19</v>
      </c>
      <c r="G26" s="6" t="n">
        <v>0</v>
      </c>
      <c r="H26" s="6" t="n">
        <v>5</v>
      </c>
      <c r="I26" s="6" t="n">
        <v>0</v>
      </c>
      <c r="J26" s="15" t="n">
        <f aca="false">IF(D26=0,"-",G26/D26*1000)</f>
        <v>0</v>
      </c>
      <c r="K26" s="7" t="s">
        <v>90</v>
      </c>
    </row>
    <row r="27" customFormat="false" ht="15" hidden="false" customHeight="false" outlineLevel="0" collapsed="false">
      <c r="A27" s="7" t="s">
        <v>31</v>
      </c>
      <c r="B27" s="8" t="s">
        <v>115</v>
      </c>
      <c r="C27" s="7" t="s">
        <v>116</v>
      </c>
      <c r="D27" s="6" t="n">
        <v>1606</v>
      </c>
      <c r="E27" s="16" t="n">
        <v>0.528</v>
      </c>
      <c r="F27" s="26" t="n">
        <v>20</v>
      </c>
      <c r="G27" s="6" t="n">
        <v>0</v>
      </c>
      <c r="H27" s="6" t="n">
        <v>11</v>
      </c>
      <c r="I27" s="6" t="n">
        <v>0</v>
      </c>
      <c r="J27" s="15" t="n">
        <f aca="false">IF(D27=0,"-",G27/D27*1000)</f>
        <v>0</v>
      </c>
      <c r="K27" s="7" t="s">
        <v>90</v>
      </c>
    </row>
    <row r="28" customFormat="false" ht="15" hidden="false" customHeight="false" outlineLevel="0" collapsed="false">
      <c r="A28" s="7" t="s">
        <v>31</v>
      </c>
      <c r="B28" s="8" t="s">
        <v>84</v>
      </c>
      <c r="C28" s="7" t="s">
        <v>117</v>
      </c>
      <c r="D28" s="6" t="n">
        <v>1565</v>
      </c>
      <c r="E28" s="16" t="n">
        <v>0.545</v>
      </c>
      <c r="F28" s="26" t="n">
        <v>17</v>
      </c>
      <c r="G28" s="6" t="n">
        <v>1</v>
      </c>
      <c r="H28" s="6" t="n">
        <v>3</v>
      </c>
      <c r="I28" s="6" t="n">
        <v>0</v>
      </c>
      <c r="J28" s="15" t="n">
        <f aca="false">IF(D28=0,"-",G28/D28*1000)</f>
        <v>0.638977635782748</v>
      </c>
      <c r="K28" s="7" t="s">
        <v>90</v>
      </c>
    </row>
    <row r="29" customFormat="false" ht="15" hidden="false" customHeight="false" outlineLevel="0" collapsed="false">
      <c r="A29" s="7" t="s">
        <v>31</v>
      </c>
      <c r="B29" s="8" t="s">
        <v>81</v>
      </c>
      <c r="C29" s="8" t="s">
        <v>118</v>
      </c>
      <c r="D29" s="6" t="n">
        <v>1564</v>
      </c>
      <c r="E29" s="16" t="n">
        <v>0.686</v>
      </c>
      <c r="F29" s="26" t="n">
        <v>13</v>
      </c>
      <c r="G29" s="6" t="n">
        <v>3</v>
      </c>
      <c r="H29" s="6" t="n">
        <v>10</v>
      </c>
      <c r="I29" s="6" t="n">
        <v>0</v>
      </c>
      <c r="J29" s="15" t="n">
        <f aca="false">IF(D29=0,"-",G29/D29*1000)</f>
        <v>1.91815856777494</v>
      </c>
      <c r="K29" s="7" t="s">
        <v>90</v>
      </c>
    </row>
    <row r="30" customFormat="false" ht="15" hidden="false" customHeight="false" outlineLevel="0" collapsed="false">
      <c r="A30" s="7" t="s">
        <v>31</v>
      </c>
      <c r="B30" s="8" t="s">
        <v>95</v>
      </c>
      <c r="C30" s="7" t="s">
        <v>119</v>
      </c>
      <c r="D30" s="6" t="n">
        <v>1564</v>
      </c>
      <c r="E30" s="16" t="n">
        <v>0.61</v>
      </c>
      <c r="F30" s="26" t="n">
        <v>17</v>
      </c>
      <c r="G30" s="6" t="n">
        <v>0</v>
      </c>
      <c r="H30" s="6" t="n">
        <v>4</v>
      </c>
      <c r="I30" s="6" t="n">
        <v>1</v>
      </c>
      <c r="J30" s="15" t="n">
        <f aca="false">IF(D30=0,"-",G30/D30*1000)</f>
        <v>0</v>
      </c>
      <c r="K30" s="7" t="s">
        <v>90</v>
      </c>
    </row>
    <row r="31" customFormat="false" ht="15" hidden="false" customHeight="false" outlineLevel="0" collapsed="false">
      <c r="A31" s="7" t="s">
        <v>31</v>
      </c>
      <c r="B31" s="8" t="s">
        <v>110</v>
      </c>
      <c r="C31" s="7" t="s">
        <v>120</v>
      </c>
      <c r="D31" s="6" t="n">
        <v>1556</v>
      </c>
      <c r="E31" s="16" t="n">
        <v>0.653</v>
      </c>
      <c r="F31" s="26" t="n">
        <v>20</v>
      </c>
      <c r="G31" s="6" t="n">
        <v>0</v>
      </c>
      <c r="H31" s="6" t="n">
        <v>2</v>
      </c>
      <c r="I31" s="6" t="n">
        <v>1</v>
      </c>
      <c r="J31" s="15" t="n">
        <f aca="false">IF(D31=0,"-",G31/D31*1000)</f>
        <v>0</v>
      </c>
      <c r="K31" s="7" t="s">
        <v>90</v>
      </c>
    </row>
    <row r="32" customFormat="false" ht="15" hidden="false" customHeight="false" outlineLevel="0" collapsed="false">
      <c r="A32" s="7" t="s">
        <v>31</v>
      </c>
      <c r="B32" s="8" t="s">
        <v>112</v>
      </c>
      <c r="C32" s="7" t="s">
        <v>121</v>
      </c>
      <c r="D32" s="6" t="n">
        <v>1475</v>
      </c>
      <c r="E32" s="16" t="n">
        <v>0.677</v>
      </c>
      <c r="F32" s="26" t="n">
        <v>23</v>
      </c>
      <c r="G32" s="6" t="n">
        <v>0</v>
      </c>
      <c r="H32" s="6" t="n">
        <v>3</v>
      </c>
      <c r="I32" s="6" t="n">
        <v>0</v>
      </c>
      <c r="J32" s="15" t="n">
        <f aca="false">IF(D32=0,"-",G32/D32*1000)</f>
        <v>0</v>
      </c>
      <c r="K32" s="7" t="s">
        <v>90</v>
      </c>
    </row>
    <row r="33" customFormat="false" ht="15" hidden="false" customHeight="false" outlineLevel="0" collapsed="false">
      <c r="A33" s="7" t="s">
        <v>33</v>
      </c>
      <c r="B33" s="8" t="s">
        <v>102</v>
      </c>
      <c r="C33" s="7" t="s">
        <v>122</v>
      </c>
      <c r="D33" s="6" t="n">
        <v>1461</v>
      </c>
      <c r="E33" s="16" t="n">
        <v>0.655</v>
      </c>
      <c r="F33" s="26" t="n">
        <v>19</v>
      </c>
      <c r="G33" s="6" t="n">
        <v>0</v>
      </c>
      <c r="H33" s="6" t="n">
        <v>5</v>
      </c>
      <c r="I33" s="6" t="n">
        <v>0</v>
      </c>
      <c r="J33" s="15" t="n">
        <f aca="false">IF(D33=0,"-",G33/D33*1000)</f>
        <v>0</v>
      </c>
      <c r="K33" s="7" t="s">
        <v>90</v>
      </c>
    </row>
    <row r="34" customFormat="false" ht="15" hidden="false" customHeight="false" outlineLevel="0" collapsed="false">
      <c r="A34" s="7" t="s">
        <v>33</v>
      </c>
      <c r="B34" s="8" t="s">
        <v>108</v>
      </c>
      <c r="C34" s="7" t="s">
        <v>123</v>
      </c>
      <c r="D34" s="6" t="n">
        <v>1460</v>
      </c>
      <c r="E34" s="16" t="n">
        <v>0.532</v>
      </c>
      <c r="F34" s="26" t="n">
        <v>17</v>
      </c>
      <c r="G34" s="6" t="n">
        <v>0</v>
      </c>
      <c r="H34" s="6" t="n">
        <v>10</v>
      </c>
      <c r="I34" s="6" t="n">
        <v>0</v>
      </c>
      <c r="J34" s="15" t="n">
        <f aca="false">IF(D34=0,"-",G34/D34*1000)</f>
        <v>0</v>
      </c>
      <c r="K34" s="7" t="s">
        <v>90</v>
      </c>
    </row>
    <row r="35" customFormat="false" ht="15" hidden="false" customHeight="false" outlineLevel="0" collapsed="false">
      <c r="A35" s="7" t="s">
        <v>31</v>
      </c>
      <c r="B35" s="8" t="s">
        <v>106</v>
      </c>
      <c r="C35" s="7" t="s">
        <v>124</v>
      </c>
      <c r="D35" s="6" t="n">
        <v>1446</v>
      </c>
      <c r="E35" s="16" t="n">
        <v>0.537</v>
      </c>
      <c r="F35" s="26" t="n">
        <v>15</v>
      </c>
      <c r="G35" s="6" t="n">
        <v>1</v>
      </c>
      <c r="H35" s="6" t="n">
        <v>7</v>
      </c>
      <c r="I35" s="6" t="n">
        <v>0</v>
      </c>
      <c r="J35" s="15" t="n">
        <f aca="false">IF(D35=0,"-",G35/D35*1000)</f>
        <v>0.691562932226833</v>
      </c>
      <c r="K35" s="7" t="s">
        <v>90</v>
      </c>
    </row>
    <row r="36" customFormat="false" ht="15" hidden="false" customHeight="false" outlineLevel="0" collapsed="false">
      <c r="A36" s="10" t="s">
        <v>37</v>
      </c>
      <c r="B36" s="10" t="s">
        <v>79</v>
      </c>
      <c r="C36" s="14" t="s">
        <v>125</v>
      </c>
      <c r="D36" s="11" t="n">
        <v>1436</v>
      </c>
      <c r="E36" s="13" t="n">
        <v>0.665</v>
      </c>
      <c r="F36" s="29" t="n">
        <v>13</v>
      </c>
      <c r="G36" s="11" t="n">
        <v>0</v>
      </c>
      <c r="H36" s="11" t="n">
        <v>3</v>
      </c>
      <c r="I36" s="11" t="n">
        <v>0</v>
      </c>
      <c r="J36" s="12" t="n">
        <f aca="false">IF(D36=0,"-",G36/D36*1000)</f>
        <v>0</v>
      </c>
      <c r="K36" s="14" t="s">
        <v>76</v>
      </c>
    </row>
    <row r="37" customFormat="false" ht="15" hidden="false" customHeight="false" outlineLevel="0" collapsed="false">
      <c r="A37" s="7" t="s">
        <v>33</v>
      </c>
      <c r="B37" s="8" t="s">
        <v>86</v>
      </c>
      <c r="C37" s="7" t="s">
        <v>126</v>
      </c>
      <c r="D37" s="6" t="n">
        <v>1402</v>
      </c>
      <c r="E37" s="16" t="n">
        <v>0.956</v>
      </c>
      <c r="F37" s="26" t="n">
        <v>25</v>
      </c>
      <c r="G37" s="6" t="n">
        <v>1</v>
      </c>
      <c r="H37" s="6" t="n">
        <v>5</v>
      </c>
      <c r="I37" s="6" t="n">
        <v>0</v>
      </c>
      <c r="J37" s="15" t="n">
        <f aca="false">IF(D37=0,"-",G37/D37*1000)</f>
        <v>0.713266761768902</v>
      </c>
      <c r="K37" s="7" t="s">
        <v>90</v>
      </c>
    </row>
    <row r="38" customFormat="false" ht="15" hidden="false" customHeight="false" outlineLevel="0" collapsed="false">
      <c r="A38" s="8" t="s">
        <v>37</v>
      </c>
      <c r="B38" s="8" t="s">
        <v>84</v>
      </c>
      <c r="C38" s="7" t="s">
        <v>127</v>
      </c>
      <c r="D38" s="6" t="n">
        <v>1366</v>
      </c>
      <c r="E38" s="16" t="n">
        <v>0.499</v>
      </c>
      <c r="F38" s="26" t="n">
        <v>11</v>
      </c>
      <c r="G38" s="6" t="n">
        <v>1</v>
      </c>
      <c r="H38" s="6" t="n">
        <v>3</v>
      </c>
      <c r="I38" s="6" t="n">
        <v>0</v>
      </c>
      <c r="J38" s="15" t="n">
        <f aca="false">IF(D38=0,"-",G38/D38*1000)</f>
        <v>0.732064421669107</v>
      </c>
      <c r="K38" s="7" t="s">
        <v>90</v>
      </c>
    </row>
    <row r="39" customFormat="false" ht="15" hidden="false" customHeight="false" outlineLevel="0" collapsed="false">
      <c r="A39" s="7" t="s">
        <v>33</v>
      </c>
      <c r="B39" s="8" t="s">
        <v>115</v>
      </c>
      <c r="C39" s="7" t="s">
        <v>128</v>
      </c>
      <c r="D39" s="6" t="n">
        <v>1364</v>
      </c>
      <c r="E39" s="16" t="n">
        <v>0.478</v>
      </c>
      <c r="F39" s="26" t="n">
        <v>11</v>
      </c>
      <c r="G39" s="6" t="n">
        <v>2</v>
      </c>
      <c r="H39" s="6" t="n">
        <v>5</v>
      </c>
      <c r="I39" s="6" t="n">
        <v>0</v>
      </c>
      <c r="J39" s="15" t="n">
        <f aca="false">IF(D39=0,"-",G39/D39*1000)</f>
        <v>1.46627565982405</v>
      </c>
      <c r="K39" s="7" t="s">
        <v>90</v>
      </c>
    </row>
    <row r="40" customFormat="false" ht="15" hidden="false" customHeight="false" outlineLevel="0" collapsed="false">
      <c r="A40" s="8" t="s">
        <v>37</v>
      </c>
      <c r="B40" s="8" t="s">
        <v>106</v>
      </c>
      <c r="C40" s="8" t="s">
        <v>129</v>
      </c>
      <c r="D40" s="6" t="n">
        <v>1358</v>
      </c>
      <c r="E40" s="16" t="n">
        <v>0.45</v>
      </c>
      <c r="F40" s="26" t="n">
        <v>11</v>
      </c>
      <c r="G40" s="6" t="n">
        <v>0</v>
      </c>
      <c r="H40" s="6" t="n">
        <v>3</v>
      </c>
      <c r="I40" s="6" t="n">
        <v>0</v>
      </c>
      <c r="J40" s="15" t="n">
        <f aca="false">IF(D40=0,"-",G40/D40*1000)</f>
        <v>0</v>
      </c>
      <c r="K40" s="7" t="s">
        <v>90</v>
      </c>
    </row>
    <row r="41" customFormat="false" ht="15" hidden="false" customHeight="false" outlineLevel="0" collapsed="false">
      <c r="A41" s="8" t="s">
        <v>37</v>
      </c>
      <c r="B41" s="8" t="s">
        <v>77</v>
      </c>
      <c r="C41" s="7" t="s">
        <v>130</v>
      </c>
      <c r="D41" s="6" t="n">
        <v>1353</v>
      </c>
      <c r="E41" s="16" t="n">
        <v>0.572</v>
      </c>
      <c r="F41" s="26" t="n">
        <v>16</v>
      </c>
      <c r="G41" s="6" t="n">
        <v>0</v>
      </c>
      <c r="H41" s="6" t="n">
        <v>4</v>
      </c>
      <c r="I41" s="6" t="n">
        <v>0</v>
      </c>
      <c r="J41" s="15" t="n">
        <f aca="false">IF(D41=0,"-",G41/D41*1000)</f>
        <v>0</v>
      </c>
      <c r="K41" s="7" t="s">
        <v>90</v>
      </c>
    </row>
    <row r="42" customFormat="false" ht="15" hidden="false" customHeight="false" outlineLevel="0" collapsed="false">
      <c r="A42" s="8" t="s">
        <v>37</v>
      </c>
      <c r="B42" s="8" t="s">
        <v>131</v>
      </c>
      <c r="C42" s="7" t="s">
        <v>132</v>
      </c>
      <c r="D42" s="6" t="n">
        <v>1350</v>
      </c>
      <c r="E42" s="16" t="n">
        <v>0.722</v>
      </c>
      <c r="F42" s="26" t="n">
        <v>16</v>
      </c>
      <c r="G42" s="6" t="n">
        <v>0</v>
      </c>
      <c r="H42" s="6" t="n">
        <v>1</v>
      </c>
      <c r="I42" s="6" t="n">
        <v>1</v>
      </c>
      <c r="J42" s="15" t="n">
        <f aca="false">IF(D42=0,"-",G42/D42*1000)</f>
        <v>0</v>
      </c>
      <c r="K42" s="7" t="s">
        <v>90</v>
      </c>
    </row>
    <row r="43" customFormat="false" ht="15" hidden="false" customHeight="false" outlineLevel="0" collapsed="false">
      <c r="A43" s="7" t="s">
        <v>31</v>
      </c>
      <c r="B43" s="8" t="s">
        <v>79</v>
      </c>
      <c r="C43" s="7" t="s">
        <v>133</v>
      </c>
      <c r="D43" s="6" t="n">
        <v>1337</v>
      </c>
      <c r="E43" s="16" t="n">
        <v>0.489</v>
      </c>
      <c r="F43" s="26" t="n">
        <v>14</v>
      </c>
      <c r="G43" s="6" t="n">
        <v>1</v>
      </c>
      <c r="H43" s="6" t="n">
        <v>4</v>
      </c>
      <c r="I43" s="6" t="n">
        <v>1</v>
      </c>
      <c r="J43" s="15" t="n">
        <f aca="false">IF(D43=0,"-",G43/D43*1000)</f>
        <v>0.74794315632012</v>
      </c>
      <c r="K43" s="7" t="s">
        <v>90</v>
      </c>
    </row>
    <row r="44" customFormat="false" ht="15" hidden="false" customHeight="false" outlineLevel="0" collapsed="false">
      <c r="A44" s="7" t="s">
        <v>31</v>
      </c>
      <c r="B44" s="8" t="s">
        <v>112</v>
      </c>
      <c r="C44" s="7" t="s">
        <v>134</v>
      </c>
      <c r="D44" s="6" t="n">
        <v>1333</v>
      </c>
      <c r="E44" s="16" t="n">
        <v>1.233</v>
      </c>
      <c r="F44" s="26" t="n">
        <v>45</v>
      </c>
      <c r="G44" s="6" t="n">
        <v>0</v>
      </c>
      <c r="H44" s="6" t="n">
        <v>4</v>
      </c>
      <c r="I44" s="6" t="n">
        <v>0</v>
      </c>
      <c r="J44" s="15" t="n">
        <f aca="false">IF(D44=0,"-",G44/D44*1000)</f>
        <v>0</v>
      </c>
      <c r="K44" s="7" t="s">
        <v>90</v>
      </c>
    </row>
    <row r="45" customFormat="false" ht="15" hidden="false" customHeight="false" outlineLevel="0" collapsed="false">
      <c r="A45" s="8" t="s">
        <v>37</v>
      </c>
      <c r="B45" s="8" t="s">
        <v>84</v>
      </c>
      <c r="C45" s="7" t="s">
        <v>135</v>
      </c>
      <c r="D45" s="6" t="n">
        <v>1298</v>
      </c>
      <c r="E45" s="16" t="n">
        <v>0.512</v>
      </c>
      <c r="F45" s="26" t="n">
        <v>11</v>
      </c>
      <c r="G45" s="6" t="n">
        <v>2</v>
      </c>
      <c r="H45" s="6" t="n">
        <v>4</v>
      </c>
      <c r="I45" s="6" t="n">
        <v>0</v>
      </c>
      <c r="J45" s="15" t="n">
        <f aca="false">IF(D45=0,"-",G45/D45*1000)</f>
        <v>1.54083204930663</v>
      </c>
      <c r="K45" s="7" t="s">
        <v>90</v>
      </c>
    </row>
    <row r="46" customFormat="false" ht="15" hidden="false" customHeight="false" outlineLevel="0" collapsed="false">
      <c r="A46" s="7" t="s">
        <v>33</v>
      </c>
      <c r="B46" s="8" t="s">
        <v>106</v>
      </c>
      <c r="C46" s="7" t="s">
        <v>136</v>
      </c>
      <c r="D46" s="6" t="n">
        <v>1298</v>
      </c>
      <c r="E46" s="16" t="n">
        <v>0.474</v>
      </c>
      <c r="F46" s="26" t="n">
        <v>13</v>
      </c>
      <c r="G46" s="6" t="n">
        <v>0</v>
      </c>
      <c r="H46" s="6" t="n">
        <v>4</v>
      </c>
      <c r="I46" s="6" t="n">
        <v>0</v>
      </c>
      <c r="J46" s="15" t="n">
        <f aca="false">IF(D46=0,"-",G46/D46*1000)</f>
        <v>0</v>
      </c>
      <c r="K46" s="7" t="s">
        <v>90</v>
      </c>
    </row>
    <row r="47" customFormat="false" ht="15" hidden="false" customHeight="false" outlineLevel="0" collapsed="false">
      <c r="A47" s="7" t="s">
        <v>31</v>
      </c>
      <c r="B47" s="8" t="s">
        <v>88</v>
      </c>
      <c r="C47" s="7" t="s">
        <v>137</v>
      </c>
      <c r="D47" s="6" t="n">
        <v>1287</v>
      </c>
      <c r="E47" s="16" t="n">
        <v>0.531</v>
      </c>
      <c r="F47" s="26" t="n">
        <v>16</v>
      </c>
      <c r="G47" s="6" t="n">
        <v>0</v>
      </c>
      <c r="H47" s="6" t="n">
        <v>4</v>
      </c>
      <c r="I47" s="6" t="n">
        <v>0</v>
      </c>
      <c r="J47" s="15" t="n">
        <f aca="false">IF(D47=0,"-",G47/D47*1000)</f>
        <v>0</v>
      </c>
      <c r="K47" s="7" t="s">
        <v>90</v>
      </c>
    </row>
    <row r="48" customFormat="false" ht="15" hidden="false" customHeight="false" outlineLevel="0" collapsed="false">
      <c r="A48" s="14" t="s">
        <v>35</v>
      </c>
      <c r="B48" s="10" t="s">
        <v>115</v>
      </c>
      <c r="C48" s="14" t="s">
        <v>138</v>
      </c>
      <c r="D48" s="11" t="n">
        <v>1279</v>
      </c>
      <c r="E48" s="13" t="n">
        <v>0.406</v>
      </c>
      <c r="F48" s="29" t="n">
        <v>12</v>
      </c>
      <c r="G48" s="11" t="n">
        <v>0</v>
      </c>
      <c r="H48" s="11" t="n">
        <v>2</v>
      </c>
      <c r="I48" s="11" t="n">
        <v>0</v>
      </c>
      <c r="J48" s="12" t="n">
        <f aca="false">IF(D48=0,"-",G48/D48*1000)</f>
        <v>0</v>
      </c>
      <c r="K48" s="14" t="s">
        <v>76</v>
      </c>
    </row>
    <row r="49" customFormat="false" ht="15" hidden="false" customHeight="false" outlineLevel="0" collapsed="false">
      <c r="A49" s="7" t="s">
        <v>33</v>
      </c>
      <c r="B49" s="8" t="s">
        <v>112</v>
      </c>
      <c r="C49" s="7" t="s">
        <v>139</v>
      </c>
      <c r="D49" s="6" t="n">
        <v>1273</v>
      </c>
      <c r="E49" s="16" t="n">
        <v>0.544</v>
      </c>
      <c r="F49" s="26" t="n">
        <v>13</v>
      </c>
      <c r="G49" s="6" t="n">
        <v>0</v>
      </c>
      <c r="H49" s="6" t="n">
        <v>4</v>
      </c>
      <c r="I49" s="6" t="n">
        <v>1</v>
      </c>
      <c r="J49" s="15" t="n">
        <f aca="false">IF(D49=0,"-",G49/D49*1000)</f>
        <v>0</v>
      </c>
      <c r="K49" s="7" t="s">
        <v>90</v>
      </c>
    </row>
    <row r="50" customFormat="false" ht="15" hidden="false" customHeight="false" outlineLevel="0" collapsed="false">
      <c r="A50" s="14" t="s">
        <v>35</v>
      </c>
      <c r="B50" s="10" t="s">
        <v>86</v>
      </c>
      <c r="C50" s="14" t="s">
        <v>140</v>
      </c>
      <c r="D50" s="11" t="n">
        <v>1244</v>
      </c>
      <c r="E50" s="13" t="n">
        <v>0.541</v>
      </c>
      <c r="F50" s="29" t="n">
        <v>11</v>
      </c>
      <c r="G50" s="11" t="n">
        <v>0</v>
      </c>
      <c r="H50" s="11" t="n">
        <v>3</v>
      </c>
      <c r="I50" s="11" t="n">
        <v>1</v>
      </c>
      <c r="J50" s="12" t="n">
        <f aca="false">IF(D50=0,"-",G50/D50*1000)</f>
        <v>0</v>
      </c>
      <c r="K50" s="14" t="s">
        <v>76</v>
      </c>
    </row>
    <row r="51" customFormat="false" ht="15" hidden="false" customHeight="false" outlineLevel="0" collapsed="false">
      <c r="A51" s="10" t="s">
        <v>29</v>
      </c>
      <c r="B51" s="10" t="s">
        <v>81</v>
      </c>
      <c r="C51" s="10" t="s">
        <v>141</v>
      </c>
      <c r="D51" s="11" t="n">
        <v>1243</v>
      </c>
      <c r="E51" s="13" t="n">
        <v>0.374</v>
      </c>
      <c r="F51" s="29" t="n">
        <v>10</v>
      </c>
      <c r="G51" s="11" t="n">
        <v>2</v>
      </c>
      <c r="H51" s="11" t="n">
        <v>4</v>
      </c>
      <c r="I51" s="11" t="n">
        <v>0</v>
      </c>
      <c r="J51" s="12" t="n">
        <f aca="false">IF(D51=0,"-",G51/D51*1000)</f>
        <v>1.60901045856798</v>
      </c>
      <c r="K51" s="14" t="s">
        <v>76</v>
      </c>
    </row>
    <row r="52" customFormat="false" ht="15" hidden="false" customHeight="false" outlineLevel="0" collapsed="false">
      <c r="A52" s="8" t="s">
        <v>37</v>
      </c>
      <c r="B52" s="8" t="s">
        <v>77</v>
      </c>
      <c r="C52" s="7" t="s">
        <v>142</v>
      </c>
      <c r="D52" s="6" t="n">
        <v>1235</v>
      </c>
      <c r="E52" s="16" t="n">
        <v>0.815</v>
      </c>
      <c r="F52" s="26" t="n">
        <v>21</v>
      </c>
      <c r="G52" s="6" t="n">
        <v>0</v>
      </c>
      <c r="H52" s="6" t="n">
        <v>6</v>
      </c>
      <c r="I52" s="6" t="n">
        <v>0</v>
      </c>
      <c r="J52" s="15" t="n">
        <f aca="false">IF(D52=0,"-",G52/D52*1000)</f>
        <v>0</v>
      </c>
      <c r="K52" s="7" t="s">
        <v>90</v>
      </c>
    </row>
    <row r="53" customFormat="false" ht="15" hidden="false" customHeight="false" outlineLevel="0" collapsed="false">
      <c r="A53" s="7" t="s">
        <v>33</v>
      </c>
      <c r="B53" s="8" t="s">
        <v>81</v>
      </c>
      <c r="C53" s="7" t="s">
        <v>143</v>
      </c>
      <c r="D53" s="6" t="n">
        <v>1223</v>
      </c>
      <c r="E53" s="16" t="n">
        <v>0.661</v>
      </c>
      <c r="F53" s="26" t="n">
        <v>15</v>
      </c>
      <c r="G53" s="6" t="n">
        <v>2</v>
      </c>
      <c r="H53" s="6" t="n">
        <v>5</v>
      </c>
      <c r="I53" s="6" t="n">
        <v>0</v>
      </c>
      <c r="J53" s="15" t="n">
        <f aca="false">IF(D53=0,"-",G53/D53*1000)</f>
        <v>1.63532297628782</v>
      </c>
      <c r="K53" s="7" t="s">
        <v>90</v>
      </c>
    </row>
    <row r="54" customFormat="false" ht="15" hidden="false" customHeight="false" outlineLevel="0" collapsed="false">
      <c r="A54" s="10" t="s">
        <v>29</v>
      </c>
      <c r="B54" s="10" t="s">
        <v>106</v>
      </c>
      <c r="C54" s="14" t="s">
        <v>144</v>
      </c>
      <c r="D54" s="11" t="n">
        <v>1209</v>
      </c>
      <c r="E54" s="13" t="n">
        <v>0.467</v>
      </c>
      <c r="F54" s="29" t="n">
        <v>17</v>
      </c>
      <c r="G54" s="11" t="n">
        <v>0</v>
      </c>
      <c r="H54" s="11" t="n">
        <v>2</v>
      </c>
      <c r="I54" s="11" t="n">
        <v>0</v>
      </c>
      <c r="J54" s="12" t="n">
        <f aca="false">IF(D54=0,"-",G54/D54*1000)</f>
        <v>0</v>
      </c>
      <c r="K54" s="14" t="s">
        <v>76</v>
      </c>
    </row>
    <row r="55" customFormat="false" ht="15" hidden="false" customHeight="false" outlineLevel="0" collapsed="false">
      <c r="A55" s="14" t="s">
        <v>35</v>
      </c>
      <c r="B55" s="10" t="s">
        <v>95</v>
      </c>
      <c r="C55" s="14" t="s">
        <v>145</v>
      </c>
      <c r="D55" s="11" t="n">
        <v>1197</v>
      </c>
      <c r="E55" s="13" t="n">
        <v>0.603</v>
      </c>
      <c r="F55" s="29" t="n">
        <v>14</v>
      </c>
      <c r="G55" s="11" t="n">
        <v>0</v>
      </c>
      <c r="H55" s="11" t="n">
        <v>1</v>
      </c>
      <c r="I55" s="11" t="n">
        <v>0</v>
      </c>
      <c r="J55" s="12" t="n">
        <f aca="false">IF(D55=0,"-",G55/D55*1000)</f>
        <v>0</v>
      </c>
      <c r="K55" s="14" t="s">
        <v>76</v>
      </c>
    </row>
    <row r="56" customFormat="false" ht="15" hidden="false" customHeight="false" outlineLevel="0" collapsed="false">
      <c r="A56" s="8" t="s">
        <v>37</v>
      </c>
      <c r="B56" s="8" t="s">
        <v>110</v>
      </c>
      <c r="C56" s="7" t="s">
        <v>146</v>
      </c>
      <c r="D56" s="6" t="n">
        <v>1190</v>
      </c>
      <c r="E56" s="16" t="n">
        <v>0.513</v>
      </c>
      <c r="F56" s="26" t="n">
        <v>11</v>
      </c>
      <c r="G56" s="6" t="n">
        <v>0</v>
      </c>
      <c r="H56" s="6" t="n">
        <v>0</v>
      </c>
      <c r="I56" s="6" t="n">
        <v>0</v>
      </c>
      <c r="J56" s="15" t="n">
        <f aca="false">IF(D56=0,"-",G56/D56*1000)</f>
        <v>0</v>
      </c>
      <c r="K56" s="7" t="s">
        <v>90</v>
      </c>
    </row>
    <row r="57" customFormat="false" ht="15" hidden="false" customHeight="false" outlineLevel="0" collapsed="false">
      <c r="A57" s="7" t="s">
        <v>33</v>
      </c>
      <c r="B57" s="8" t="s">
        <v>110</v>
      </c>
      <c r="C57" s="7" t="s">
        <v>147</v>
      </c>
      <c r="D57" s="6" t="n">
        <v>1171</v>
      </c>
      <c r="E57" s="16" t="n">
        <v>0.651</v>
      </c>
      <c r="F57" s="26" t="n">
        <v>16</v>
      </c>
      <c r="G57" s="6" t="n">
        <v>2</v>
      </c>
      <c r="H57" s="6" t="n">
        <v>10</v>
      </c>
      <c r="I57" s="6" t="n">
        <v>0</v>
      </c>
      <c r="J57" s="15" t="n">
        <f aca="false">IF(D57=0,"-",G57/D57*1000)</f>
        <v>1.70794192997438</v>
      </c>
      <c r="K57" s="7" t="s">
        <v>90</v>
      </c>
    </row>
    <row r="58" customFormat="false" ht="15" hidden="false" customHeight="false" outlineLevel="0" collapsed="false">
      <c r="A58" s="7" t="s">
        <v>35</v>
      </c>
      <c r="B58" s="8" t="s">
        <v>108</v>
      </c>
      <c r="C58" s="7" t="s">
        <v>148</v>
      </c>
      <c r="D58" s="6" t="n">
        <v>1168</v>
      </c>
      <c r="E58" s="16" t="n">
        <v>0.631</v>
      </c>
      <c r="F58" s="26" t="n">
        <v>13</v>
      </c>
      <c r="G58" s="6" t="n">
        <v>0</v>
      </c>
      <c r="H58" s="6" t="n">
        <v>2</v>
      </c>
      <c r="I58" s="6" t="n">
        <v>0</v>
      </c>
      <c r="J58" s="15" t="n">
        <f aca="false">IF(D58=0,"-",G58/D58*1000)</f>
        <v>0</v>
      </c>
      <c r="K58" s="7" t="s">
        <v>90</v>
      </c>
    </row>
    <row r="59" customFormat="false" ht="15" hidden="false" customHeight="false" outlineLevel="0" collapsed="false">
      <c r="A59" s="10" t="s">
        <v>29</v>
      </c>
      <c r="B59" s="10" t="s">
        <v>108</v>
      </c>
      <c r="C59" s="14" t="s">
        <v>149</v>
      </c>
      <c r="D59" s="11" t="n">
        <v>1168</v>
      </c>
      <c r="E59" s="13" t="n">
        <v>0.619</v>
      </c>
      <c r="F59" s="29" t="n">
        <v>17</v>
      </c>
      <c r="G59" s="11" t="n">
        <v>3</v>
      </c>
      <c r="H59" s="11" t="n">
        <v>8</v>
      </c>
      <c r="I59" s="11" t="n">
        <v>0</v>
      </c>
      <c r="J59" s="12" t="n">
        <f aca="false">IF(D59=0,"-",G59/D59*1000)</f>
        <v>2.56849315068493</v>
      </c>
      <c r="K59" s="14" t="s">
        <v>76</v>
      </c>
    </row>
    <row r="60" customFormat="false" ht="15" hidden="false" customHeight="false" outlineLevel="0" collapsed="false">
      <c r="A60" s="7" t="s">
        <v>33</v>
      </c>
      <c r="B60" s="8" t="s">
        <v>74</v>
      </c>
      <c r="C60" s="8" t="s">
        <v>150</v>
      </c>
      <c r="D60" s="6" t="n">
        <v>1167</v>
      </c>
      <c r="E60" s="16" t="n">
        <v>0.58</v>
      </c>
      <c r="F60" s="26" t="n">
        <v>13</v>
      </c>
      <c r="G60" s="6" t="n">
        <v>0</v>
      </c>
      <c r="H60" s="6" t="n">
        <v>3</v>
      </c>
      <c r="I60" s="6" t="n">
        <v>0</v>
      </c>
      <c r="J60" s="15" t="n">
        <f aca="false">IF(D60=0,"-",G60/D60*1000)</f>
        <v>0</v>
      </c>
      <c r="K60" s="7" t="s">
        <v>90</v>
      </c>
    </row>
    <row r="61" customFormat="false" ht="15" hidden="false" customHeight="false" outlineLevel="0" collapsed="false">
      <c r="A61" s="7" t="s">
        <v>33</v>
      </c>
      <c r="B61" s="8" t="s">
        <v>86</v>
      </c>
      <c r="C61" s="7" t="s">
        <v>151</v>
      </c>
      <c r="D61" s="6" t="n">
        <v>1165</v>
      </c>
      <c r="E61" s="16" t="n">
        <v>0.622</v>
      </c>
      <c r="F61" s="26" t="n">
        <v>16</v>
      </c>
      <c r="G61" s="6" t="n">
        <v>1</v>
      </c>
      <c r="H61" s="6" t="n">
        <v>5</v>
      </c>
      <c r="I61" s="6" t="n">
        <v>0</v>
      </c>
      <c r="J61" s="15" t="n">
        <f aca="false">IF(D61=0,"-",G61/D61*1000)</f>
        <v>0.858369098712446</v>
      </c>
      <c r="K61" s="7" t="s">
        <v>90</v>
      </c>
    </row>
    <row r="62" customFormat="false" ht="15" hidden="false" customHeight="false" outlineLevel="0" collapsed="false">
      <c r="A62" s="7" t="s">
        <v>35</v>
      </c>
      <c r="B62" s="8" t="s">
        <v>152</v>
      </c>
      <c r="C62" s="7" t="s">
        <v>153</v>
      </c>
      <c r="D62" s="6" t="n">
        <v>1163</v>
      </c>
      <c r="E62" s="16" t="n">
        <v>0.454</v>
      </c>
      <c r="F62" s="26" t="n">
        <v>12</v>
      </c>
      <c r="G62" s="6" t="n">
        <v>0</v>
      </c>
      <c r="H62" s="6" t="n">
        <v>5</v>
      </c>
      <c r="I62" s="6" t="n">
        <v>0</v>
      </c>
      <c r="J62" s="15" t="n">
        <f aca="false">IF(D62=0,"-",G62/D62*1000)</f>
        <v>0</v>
      </c>
      <c r="K62" s="7" t="s">
        <v>90</v>
      </c>
    </row>
    <row r="63" customFormat="false" ht="15" hidden="false" customHeight="false" outlineLevel="0" collapsed="false">
      <c r="A63" s="8" t="s">
        <v>37</v>
      </c>
      <c r="B63" s="8" t="s">
        <v>77</v>
      </c>
      <c r="C63" s="7" t="s">
        <v>154</v>
      </c>
      <c r="D63" s="6" t="n">
        <v>1161</v>
      </c>
      <c r="E63" s="16" t="n">
        <v>1.096</v>
      </c>
      <c r="F63" s="26" t="n">
        <v>28</v>
      </c>
      <c r="G63" s="6" t="n">
        <v>0</v>
      </c>
      <c r="H63" s="6" t="n">
        <v>3</v>
      </c>
      <c r="I63" s="6" t="n">
        <v>0</v>
      </c>
      <c r="J63" s="15" t="n">
        <f aca="false">IF(D63=0,"-",G63/D63*1000)</f>
        <v>0</v>
      </c>
      <c r="K63" s="7" t="s">
        <v>90</v>
      </c>
    </row>
    <row r="64" customFormat="false" ht="15" hidden="false" customHeight="false" outlineLevel="0" collapsed="false">
      <c r="A64" s="8" t="s">
        <v>37</v>
      </c>
      <c r="B64" s="8" t="s">
        <v>91</v>
      </c>
      <c r="C64" s="7" t="s">
        <v>155</v>
      </c>
      <c r="D64" s="6" t="n">
        <v>1143</v>
      </c>
      <c r="E64" s="16" t="n">
        <v>0.514</v>
      </c>
      <c r="F64" s="26" t="n">
        <v>11</v>
      </c>
      <c r="G64" s="6" t="n">
        <v>0</v>
      </c>
      <c r="H64" s="6" t="n">
        <v>2</v>
      </c>
      <c r="I64" s="6" t="n">
        <v>0</v>
      </c>
      <c r="J64" s="15" t="n">
        <f aca="false">IF(D64=0,"-",G64/D64*1000)</f>
        <v>0</v>
      </c>
      <c r="K64" s="7" t="s">
        <v>90</v>
      </c>
    </row>
    <row r="65" customFormat="false" ht="15" hidden="false" customHeight="false" outlineLevel="0" collapsed="false">
      <c r="A65" s="7" t="s">
        <v>35</v>
      </c>
      <c r="B65" s="8" t="s">
        <v>95</v>
      </c>
      <c r="C65" s="7" t="s">
        <v>156</v>
      </c>
      <c r="D65" s="6" t="n">
        <v>1133</v>
      </c>
      <c r="E65" s="16" t="n">
        <v>0.623</v>
      </c>
      <c r="F65" s="26" t="n">
        <v>16</v>
      </c>
      <c r="G65" s="6" t="n">
        <v>1</v>
      </c>
      <c r="H65" s="6" t="n">
        <v>5</v>
      </c>
      <c r="I65" s="6" t="n">
        <v>0</v>
      </c>
      <c r="J65" s="15" t="n">
        <f aca="false">IF(D65=0,"-",G65/D65*1000)</f>
        <v>0.88261253309797</v>
      </c>
      <c r="K65" s="7" t="s">
        <v>90</v>
      </c>
    </row>
    <row r="66" customFormat="false" ht="15" hidden="false" customHeight="false" outlineLevel="0" collapsed="false">
      <c r="A66" s="7" t="s">
        <v>35</v>
      </c>
      <c r="B66" s="8" t="s">
        <v>157</v>
      </c>
      <c r="C66" s="7" t="s">
        <v>158</v>
      </c>
      <c r="D66" s="6" t="n">
        <v>1132</v>
      </c>
      <c r="E66" s="16" t="n">
        <v>0.593</v>
      </c>
      <c r="F66" s="26" t="n">
        <v>12</v>
      </c>
      <c r="G66" s="6" t="n">
        <v>0</v>
      </c>
      <c r="H66" s="6" t="n">
        <v>5</v>
      </c>
      <c r="I66" s="6" t="n">
        <v>0</v>
      </c>
      <c r="J66" s="15" t="n">
        <f aca="false">IF(D66=0,"-",G66/D66*1000)</f>
        <v>0</v>
      </c>
      <c r="K66" s="7" t="s">
        <v>90</v>
      </c>
    </row>
    <row r="67" customFormat="false" ht="15" hidden="false" customHeight="false" outlineLevel="0" collapsed="false">
      <c r="A67" s="7" t="s">
        <v>31</v>
      </c>
      <c r="B67" s="8" t="s">
        <v>93</v>
      </c>
      <c r="C67" s="7" t="s">
        <v>159</v>
      </c>
      <c r="D67" s="6" t="n">
        <v>1130</v>
      </c>
      <c r="E67" s="16" t="n">
        <v>0.68</v>
      </c>
      <c r="F67" s="26" t="n">
        <v>18</v>
      </c>
      <c r="G67" s="6" t="n">
        <v>0</v>
      </c>
      <c r="H67" s="6" t="n">
        <v>7</v>
      </c>
      <c r="I67" s="6" t="n">
        <v>0</v>
      </c>
      <c r="J67" s="15" t="n">
        <f aca="false">IF(D67=0,"-",G67/D67*1000)</f>
        <v>0</v>
      </c>
      <c r="K67" s="7" t="s">
        <v>90</v>
      </c>
    </row>
    <row r="68" customFormat="false" ht="15" hidden="false" customHeight="false" outlineLevel="0" collapsed="false">
      <c r="A68" s="7" t="s">
        <v>35</v>
      </c>
      <c r="B68" s="8" t="s">
        <v>160</v>
      </c>
      <c r="C68" s="7" t="s">
        <v>161</v>
      </c>
      <c r="D68" s="6" t="n">
        <v>1128</v>
      </c>
      <c r="E68" s="16" t="n">
        <v>0.571</v>
      </c>
      <c r="F68" s="26" t="n">
        <v>11</v>
      </c>
      <c r="G68" s="6" t="n">
        <v>0</v>
      </c>
      <c r="H68" s="6" t="n">
        <v>5</v>
      </c>
      <c r="I68" s="6" t="n">
        <v>0</v>
      </c>
      <c r="J68" s="15" t="n">
        <f aca="false">IF(D68=0,"-",G68/D68*1000)</f>
        <v>0</v>
      </c>
      <c r="K68" s="7" t="s">
        <v>90</v>
      </c>
    </row>
    <row r="69" customFormat="false" ht="15" hidden="false" customHeight="false" outlineLevel="0" collapsed="false">
      <c r="A69" s="10" t="s">
        <v>29</v>
      </c>
      <c r="B69" s="10" t="s">
        <v>110</v>
      </c>
      <c r="C69" s="10" t="s">
        <v>162</v>
      </c>
      <c r="D69" s="11" t="n">
        <v>1127</v>
      </c>
      <c r="E69" s="13" t="n">
        <v>0.53</v>
      </c>
      <c r="F69" s="29" t="n">
        <v>14</v>
      </c>
      <c r="G69" s="11" t="n">
        <v>0</v>
      </c>
      <c r="H69" s="11" t="n">
        <v>3</v>
      </c>
      <c r="I69" s="11" t="n">
        <v>0</v>
      </c>
      <c r="J69" s="12" t="n">
        <f aca="false">IF(D69=0,"-",G69/D69*1000)</f>
        <v>0</v>
      </c>
      <c r="K69" s="14" t="s">
        <v>76</v>
      </c>
    </row>
    <row r="70" customFormat="false" ht="15" hidden="false" customHeight="false" outlineLevel="0" collapsed="false">
      <c r="A70" s="10" t="s">
        <v>29</v>
      </c>
      <c r="B70" s="10" t="s">
        <v>163</v>
      </c>
      <c r="C70" s="14" t="s">
        <v>164</v>
      </c>
      <c r="D70" s="11" t="n">
        <v>1111</v>
      </c>
      <c r="E70" s="13" t="n">
        <v>0.366</v>
      </c>
      <c r="F70" s="29" t="n">
        <v>10</v>
      </c>
      <c r="G70" s="11" t="n">
        <v>2</v>
      </c>
      <c r="H70" s="11" t="n">
        <v>3</v>
      </c>
      <c r="I70" s="11" t="n">
        <v>0</v>
      </c>
      <c r="J70" s="12" t="n">
        <f aca="false">IF(D70=0,"-",G70/D70*1000)</f>
        <v>1.8001800180018</v>
      </c>
      <c r="K70" s="14" t="s">
        <v>76</v>
      </c>
    </row>
    <row r="71" customFormat="false" ht="15" hidden="false" customHeight="false" outlineLevel="0" collapsed="false">
      <c r="A71" s="7" t="s">
        <v>35</v>
      </c>
      <c r="B71" s="8" t="s">
        <v>84</v>
      </c>
      <c r="C71" s="7" t="s">
        <v>165</v>
      </c>
      <c r="D71" s="6" t="n">
        <v>1102</v>
      </c>
      <c r="E71" s="16" t="n">
        <v>0.353</v>
      </c>
      <c r="F71" s="26" t="n">
        <v>9</v>
      </c>
      <c r="G71" s="6" t="n">
        <v>0</v>
      </c>
      <c r="H71" s="6" t="n">
        <v>3</v>
      </c>
      <c r="I71" s="6" t="n">
        <v>0</v>
      </c>
      <c r="J71" s="15" t="n">
        <f aca="false">IF(D71=0,"-",G71/D71*1000)</f>
        <v>0</v>
      </c>
      <c r="K71" s="7" t="s">
        <v>90</v>
      </c>
    </row>
    <row r="72" customFormat="false" ht="15" hidden="false" customHeight="false" outlineLevel="0" collapsed="false">
      <c r="A72" s="7" t="s">
        <v>31</v>
      </c>
      <c r="B72" s="8" t="s">
        <v>106</v>
      </c>
      <c r="C72" s="8" t="s">
        <v>166</v>
      </c>
      <c r="D72" s="6" t="n">
        <v>1088</v>
      </c>
      <c r="E72" s="16" t="n">
        <v>0.637</v>
      </c>
      <c r="F72" s="26" t="n">
        <v>17</v>
      </c>
      <c r="G72" s="6" t="n">
        <v>1</v>
      </c>
      <c r="H72" s="6" t="n">
        <v>4</v>
      </c>
      <c r="I72" s="6" t="n">
        <v>0</v>
      </c>
      <c r="J72" s="15" t="n">
        <f aca="false">IF(D72=0,"-",G72/D72*1000)</f>
        <v>0.919117647058824</v>
      </c>
      <c r="K72" s="7" t="s">
        <v>90</v>
      </c>
    </row>
    <row r="73" customFormat="false" ht="15" hidden="false" customHeight="false" outlineLevel="0" collapsed="false">
      <c r="A73" s="8" t="s">
        <v>37</v>
      </c>
      <c r="B73" s="8" t="s">
        <v>79</v>
      </c>
      <c r="C73" s="7" t="s">
        <v>167</v>
      </c>
      <c r="D73" s="6" t="n">
        <v>1086</v>
      </c>
      <c r="E73" s="16" t="n">
        <v>1.255</v>
      </c>
      <c r="F73" s="26" t="n">
        <v>28</v>
      </c>
      <c r="G73" s="6" t="n">
        <v>0</v>
      </c>
      <c r="H73" s="6" t="n">
        <v>1</v>
      </c>
      <c r="I73" s="6" t="n">
        <v>0</v>
      </c>
      <c r="J73" s="15" t="n">
        <f aca="false">IF(D73=0,"-",G73/D73*1000)</f>
        <v>0</v>
      </c>
      <c r="K73" s="7" t="s">
        <v>90</v>
      </c>
    </row>
    <row r="74" customFormat="false" ht="15" hidden="false" customHeight="false" outlineLevel="0" collapsed="false">
      <c r="A74" s="10" t="s">
        <v>29</v>
      </c>
      <c r="B74" s="10" t="s">
        <v>168</v>
      </c>
      <c r="C74" s="14" t="s">
        <v>169</v>
      </c>
      <c r="D74" s="11" t="n">
        <v>1083</v>
      </c>
      <c r="E74" s="13" t="n">
        <v>0.429</v>
      </c>
      <c r="F74" s="29" t="n">
        <v>15</v>
      </c>
      <c r="G74" s="11" t="n">
        <v>0</v>
      </c>
      <c r="H74" s="11" t="n">
        <v>4</v>
      </c>
      <c r="I74" s="11" t="n">
        <v>1</v>
      </c>
      <c r="J74" s="12" t="n">
        <f aca="false">IF(D74=0,"-",G74/D74*1000)</f>
        <v>0</v>
      </c>
      <c r="K74" s="14" t="s">
        <v>76</v>
      </c>
    </row>
    <row r="75" customFormat="false" ht="15" hidden="false" customHeight="false" outlineLevel="0" collapsed="false">
      <c r="A75" s="7" t="s">
        <v>35</v>
      </c>
      <c r="B75" s="8" t="s">
        <v>108</v>
      </c>
      <c r="C75" s="7" t="s">
        <v>170</v>
      </c>
      <c r="D75" s="6" t="n">
        <v>1078</v>
      </c>
      <c r="E75" s="16" t="n">
        <v>0.767</v>
      </c>
      <c r="F75" s="26" t="n">
        <v>19</v>
      </c>
      <c r="G75" s="6" t="n">
        <v>0</v>
      </c>
      <c r="H75" s="6" t="n">
        <v>4</v>
      </c>
      <c r="I75" s="6" t="n">
        <v>0</v>
      </c>
      <c r="J75" s="15" t="n">
        <f aca="false">IF(D75=0,"-",G75/D75*1000)</f>
        <v>0</v>
      </c>
      <c r="K75" s="7" t="s">
        <v>90</v>
      </c>
    </row>
    <row r="76" customFormat="false" ht="15" hidden="false" customHeight="false" outlineLevel="0" collapsed="false">
      <c r="A76" s="10" t="s">
        <v>29</v>
      </c>
      <c r="B76" s="10" t="s">
        <v>79</v>
      </c>
      <c r="C76" s="10" t="s">
        <v>171</v>
      </c>
      <c r="D76" s="11" t="n">
        <v>1071</v>
      </c>
      <c r="E76" s="13" t="n">
        <v>0.866</v>
      </c>
      <c r="F76" s="29" t="n">
        <v>25</v>
      </c>
      <c r="G76" s="11" t="n">
        <v>0</v>
      </c>
      <c r="H76" s="11" t="n">
        <v>0</v>
      </c>
      <c r="I76" s="11" t="n">
        <v>0</v>
      </c>
      <c r="J76" s="12" t="n">
        <f aca="false">IF(D76=0,"-",G76/D76*1000)</f>
        <v>0</v>
      </c>
      <c r="K76" s="14" t="s">
        <v>76</v>
      </c>
    </row>
    <row r="77" customFormat="false" ht="15" hidden="false" customHeight="false" outlineLevel="0" collapsed="false">
      <c r="A77" s="7" t="s">
        <v>35</v>
      </c>
      <c r="B77" s="8" t="s">
        <v>91</v>
      </c>
      <c r="C77" s="7" t="s">
        <v>172</v>
      </c>
      <c r="D77" s="6" t="n">
        <v>1069</v>
      </c>
      <c r="E77" s="16" t="n">
        <v>0.532</v>
      </c>
      <c r="F77" s="26" t="n">
        <v>16</v>
      </c>
      <c r="G77" s="6" t="n">
        <v>1</v>
      </c>
      <c r="H77" s="6" t="n">
        <v>2</v>
      </c>
      <c r="I77" s="6" t="n">
        <v>0</v>
      </c>
      <c r="J77" s="15" t="n">
        <f aca="false">IF(D77=0,"-",G77/D77*1000)</f>
        <v>0.935453695042095</v>
      </c>
      <c r="K77" s="7" t="s">
        <v>90</v>
      </c>
    </row>
    <row r="78" customFormat="false" ht="15" hidden="false" customHeight="false" outlineLevel="0" collapsed="false">
      <c r="A78" s="7" t="s">
        <v>35</v>
      </c>
      <c r="B78" s="8" t="s">
        <v>98</v>
      </c>
      <c r="C78" s="7" t="s">
        <v>173</v>
      </c>
      <c r="D78" s="6" t="n">
        <v>1065</v>
      </c>
      <c r="E78" s="16" t="n">
        <v>0.559</v>
      </c>
      <c r="F78" s="26" t="n">
        <v>15</v>
      </c>
      <c r="G78" s="6" t="n">
        <v>1</v>
      </c>
      <c r="H78" s="6" t="n">
        <v>4</v>
      </c>
      <c r="I78" s="6" t="n">
        <v>0</v>
      </c>
      <c r="J78" s="15" t="n">
        <f aca="false">IF(D78=0,"-",G78/D78*1000)</f>
        <v>0.938967136150235</v>
      </c>
      <c r="K78" s="7" t="s">
        <v>90</v>
      </c>
    </row>
    <row r="79" customFormat="false" ht="15" hidden="false" customHeight="false" outlineLevel="0" collapsed="false">
      <c r="A79" s="7" t="s">
        <v>35</v>
      </c>
      <c r="B79" s="8" t="s">
        <v>102</v>
      </c>
      <c r="C79" s="7" t="s">
        <v>174</v>
      </c>
      <c r="D79" s="6" t="n">
        <v>1054</v>
      </c>
      <c r="E79" s="16" t="n">
        <v>0.56</v>
      </c>
      <c r="F79" s="26" t="n">
        <v>17</v>
      </c>
      <c r="G79" s="6" t="n">
        <v>0</v>
      </c>
      <c r="H79" s="6" t="n">
        <v>2</v>
      </c>
      <c r="I79" s="6" t="n">
        <v>0</v>
      </c>
      <c r="J79" s="15" t="n">
        <f aca="false">IF(D79=0,"-",G79/D79*1000)</f>
        <v>0</v>
      </c>
      <c r="K79" s="7" t="s">
        <v>90</v>
      </c>
    </row>
    <row r="80" customFormat="false" ht="15" hidden="false" customHeight="false" outlineLevel="0" collapsed="false">
      <c r="A80" s="10" t="s">
        <v>29</v>
      </c>
      <c r="B80" s="10" t="s">
        <v>100</v>
      </c>
      <c r="C80" s="10" t="s">
        <v>175</v>
      </c>
      <c r="D80" s="11" t="n">
        <v>1053</v>
      </c>
      <c r="E80" s="13" t="n">
        <v>0.458</v>
      </c>
      <c r="F80" s="29" t="n">
        <v>13</v>
      </c>
      <c r="G80" s="11" t="n">
        <v>2</v>
      </c>
      <c r="H80" s="11" t="n">
        <v>5</v>
      </c>
      <c r="I80" s="11" t="n">
        <v>1</v>
      </c>
      <c r="J80" s="12" t="n">
        <f aca="false">IF(D80=0,"-",G80/D80*1000)</f>
        <v>1.89933523266857</v>
      </c>
      <c r="K80" s="14" t="s">
        <v>76</v>
      </c>
    </row>
    <row r="81" customFormat="false" ht="15" hidden="false" customHeight="false" outlineLevel="0" collapsed="false">
      <c r="A81" s="7" t="s">
        <v>35</v>
      </c>
      <c r="B81" s="8" t="s">
        <v>106</v>
      </c>
      <c r="C81" s="7" t="s">
        <v>176</v>
      </c>
      <c r="D81" s="6" t="n">
        <v>1044</v>
      </c>
      <c r="E81" s="16" t="n">
        <v>0.468</v>
      </c>
      <c r="F81" s="26" t="n">
        <v>13</v>
      </c>
      <c r="G81" s="6" t="n">
        <v>0</v>
      </c>
      <c r="H81" s="6" t="n">
        <v>6</v>
      </c>
      <c r="I81" s="6" t="n">
        <v>0</v>
      </c>
      <c r="J81" s="15" t="n">
        <f aca="false">IF(D81=0,"-",G81/D81*1000)</f>
        <v>0</v>
      </c>
      <c r="K81" s="7" t="s">
        <v>90</v>
      </c>
    </row>
    <row r="82" customFormat="false" ht="15" hidden="false" customHeight="false" outlineLevel="0" collapsed="false">
      <c r="A82" s="7" t="s">
        <v>35</v>
      </c>
      <c r="B82" s="8" t="s">
        <v>112</v>
      </c>
      <c r="C82" s="7" t="s">
        <v>177</v>
      </c>
      <c r="D82" s="6" t="n">
        <v>1040</v>
      </c>
      <c r="E82" s="16" t="n">
        <v>0.345</v>
      </c>
      <c r="F82" s="26" t="n">
        <v>9</v>
      </c>
      <c r="G82" s="6" t="n">
        <v>0</v>
      </c>
      <c r="H82" s="6" t="n">
        <v>6</v>
      </c>
      <c r="I82" s="6" t="n">
        <v>0</v>
      </c>
      <c r="J82" s="15" t="n">
        <f aca="false">IF(D82=0,"-",G82/D82*1000)</f>
        <v>0</v>
      </c>
      <c r="K82" s="7" t="s">
        <v>90</v>
      </c>
    </row>
    <row r="83" customFormat="false" ht="15" hidden="false" customHeight="false" outlineLevel="0" collapsed="false">
      <c r="A83" s="10" t="s">
        <v>29</v>
      </c>
      <c r="B83" s="10" t="s">
        <v>112</v>
      </c>
      <c r="C83" s="14" t="s">
        <v>178</v>
      </c>
      <c r="D83" s="11" t="n">
        <v>1039</v>
      </c>
      <c r="E83" s="13" t="n">
        <v>0.543</v>
      </c>
      <c r="F83" s="29" t="n">
        <v>17</v>
      </c>
      <c r="G83" s="11" t="n">
        <v>2</v>
      </c>
      <c r="H83" s="11" t="n">
        <v>4</v>
      </c>
      <c r="I83" s="11" t="n">
        <v>0</v>
      </c>
      <c r="J83" s="12" t="n">
        <f aca="false">IF(D83=0,"-",G83/D83*1000)</f>
        <v>1.92492781520693</v>
      </c>
      <c r="K83" s="14" t="s">
        <v>76</v>
      </c>
    </row>
    <row r="84" customFormat="false" ht="15" hidden="false" customHeight="false" outlineLevel="0" collapsed="false">
      <c r="A84" s="10" t="s">
        <v>29</v>
      </c>
      <c r="B84" s="10" t="s">
        <v>168</v>
      </c>
      <c r="C84" s="14" t="s">
        <v>179</v>
      </c>
      <c r="D84" s="11" t="n">
        <v>1034</v>
      </c>
      <c r="E84" s="13" t="n">
        <v>0.559</v>
      </c>
      <c r="F84" s="29" t="n">
        <v>20</v>
      </c>
      <c r="G84" s="11" t="n">
        <v>0</v>
      </c>
      <c r="H84" s="11" t="n">
        <v>2</v>
      </c>
      <c r="I84" s="11" t="n">
        <v>0</v>
      </c>
      <c r="J84" s="12" t="n">
        <f aca="false">IF(D84=0,"-",G84/D84*1000)</f>
        <v>0</v>
      </c>
      <c r="K84" s="14" t="s">
        <v>76</v>
      </c>
    </row>
    <row r="85" customFormat="false" ht="15" hidden="false" customHeight="false" outlineLevel="0" collapsed="false">
      <c r="A85" s="7" t="s">
        <v>35</v>
      </c>
      <c r="B85" s="8" t="s">
        <v>88</v>
      </c>
      <c r="C85" s="7" t="s">
        <v>180</v>
      </c>
      <c r="D85" s="6" t="n">
        <v>1033</v>
      </c>
      <c r="E85" s="16" t="n">
        <v>0.442</v>
      </c>
      <c r="F85" s="26" t="n">
        <v>16</v>
      </c>
      <c r="G85" s="6" t="n">
        <v>0</v>
      </c>
      <c r="H85" s="6" t="n">
        <v>5</v>
      </c>
      <c r="I85" s="6" t="n">
        <v>0</v>
      </c>
      <c r="J85" s="15" t="n">
        <f aca="false">IF(D85=0,"-",G85/D85*1000)</f>
        <v>0</v>
      </c>
      <c r="K85" s="7" t="s">
        <v>90</v>
      </c>
    </row>
    <row r="86" customFormat="false" ht="15" hidden="false" customHeight="false" outlineLevel="0" collapsed="false">
      <c r="A86" s="10" t="s">
        <v>29</v>
      </c>
      <c r="B86" s="10" t="s">
        <v>157</v>
      </c>
      <c r="C86" s="14" t="s">
        <v>181</v>
      </c>
      <c r="D86" s="11" t="n">
        <v>1022</v>
      </c>
      <c r="E86" s="13" t="n">
        <v>0.611</v>
      </c>
      <c r="F86" s="29" t="n">
        <v>12</v>
      </c>
      <c r="G86" s="11" t="n">
        <v>3</v>
      </c>
      <c r="H86" s="11" t="n">
        <v>10</v>
      </c>
      <c r="I86" s="11" t="n">
        <v>0</v>
      </c>
      <c r="J86" s="12" t="n">
        <f aca="false">IF(D86=0,"-",G86/D86*1000)</f>
        <v>2.93542074363992</v>
      </c>
      <c r="K86" s="14" t="s">
        <v>76</v>
      </c>
    </row>
    <row r="87" customFormat="false" ht="15" hidden="false" customHeight="false" outlineLevel="0" collapsed="false">
      <c r="A87" s="7" t="s">
        <v>35</v>
      </c>
      <c r="B87" s="8" t="s">
        <v>152</v>
      </c>
      <c r="C87" s="8" t="s">
        <v>182</v>
      </c>
      <c r="D87" s="6" t="n">
        <v>1013</v>
      </c>
      <c r="E87" s="16" t="n">
        <v>0.447</v>
      </c>
      <c r="F87" s="26" t="n">
        <v>11</v>
      </c>
      <c r="G87" s="6" t="n">
        <v>0</v>
      </c>
      <c r="H87" s="6" t="n">
        <v>6</v>
      </c>
      <c r="I87" s="6" t="n">
        <v>0</v>
      </c>
      <c r="J87" s="15" t="n">
        <f aca="false">IF(D87=0,"-",G87/D87*1000)</f>
        <v>0</v>
      </c>
      <c r="K87" s="7" t="s">
        <v>90</v>
      </c>
    </row>
    <row r="88" customFormat="false" ht="15" hidden="false" customHeight="false" outlineLevel="0" collapsed="false">
      <c r="A88" s="10" t="s">
        <v>29</v>
      </c>
      <c r="B88" s="10" t="s">
        <v>102</v>
      </c>
      <c r="C88" s="14" t="s">
        <v>183</v>
      </c>
      <c r="D88" s="11" t="n">
        <v>1007</v>
      </c>
      <c r="E88" s="13" t="n">
        <v>0.426</v>
      </c>
      <c r="F88" s="29" t="n">
        <v>15</v>
      </c>
      <c r="G88" s="11" t="n">
        <v>2</v>
      </c>
      <c r="H88" s="11" t="n">
        <v>10</v>
      </c>
      <c r="I88" s="11" t="n">
        <v>0</v>
      </c>
      <c r="J88" s="12" t="n">
        <f aca="false">IF(D88=0,"-",G88/D88*1000)</f>
        <v>1.98609731876862</v>
      </c>
      <c r="K88" s="14" t="s">
        <v>76</v>
      </c>
    </row>
    <row r="89" customFormat="false" ht="15" hidden="false" customHeight="false" outlineLevel="0" collapsed="false">
      <c r="A89" s="10" t="s">
        <v>29</v>
      </c>
      <c r="B89" s="10" t="s">
        <v>184</v>
      </c>
      <c r="C89" s="14" t="s">
        <v>185</v>
      </c>
      <c r="D89" s="11" t="n">
        <v>1006</v>
      </c>
      <c r="E89" s="13" t="n">
        <v>0.497</v>
      </c>
      <c r="F89" s="29" t="n">
        <v>18</v>
      </c>
      <c r="G89" s="11" t="n">
        <v>0</v>
      </c>
      <c r="H89" s="11" t="n">
        <v>2</v>
      </c>
      <c r="I89" s="11" t="n">
        <v>0</v>
      </c>
      <c r="J89" s="12" t="n">
        <f aca="false">IF(D89=0,"-",G89/D89*1000)</f>
        <v>0</v>
      </c>
      <c r="K89" s="14" t="s">
        <v>76</v>
      </c>
    </row>
    <row r="90" customFormat="false" ht="15" hidden="false" customHeight="false" outlineLevel="0" collapsed="false">
      <c r="A90" s="10" t="s">
        <v>29</v>
      </c>
      <c r="B90" s="10" t="s">
        <v>160</v>
      </c>
      <c r="C90" s="14" t="s">
        <v>186</v>
      </c>
      <c r="D90" s="11" t="n">
        <v>1003</v>
      </c>
      <c r="E90" s="13" t="n">
        <v>0.472</v>
      </c>
      <c r="F90" s="29" t="n">
        <v>16</v>
      </c>
      <c r="G90" s="11" t="n">
        <v>0</v>
      </c>
      <c r="H90" s="11" t="n">
        <v>7</v>
      </c>
      <c r="I90" s="11" t="n">
        <v>0</v>
      </c>
      <c r="J90" s="12" t="n">
        <f aca="false">IF(D90=0,"-",G90/D90*1000)</f>
        <v>0</v>
      </c>
      <c r="K90" s="14" t="s">
        <v>76</v>
      </c>
    </row>
    <row r="91" customFormat="false" ht="15" hidden="false" customHeight="false" outlineLevel="0" collapsed="false">
      <c r="A91" s="7" t="s">
        <v>35</v>
      </c>
      <c r="B91" s="8" t="s">
        <v>95</v>
      </c>
      <c r="C91" s="7" t="s">
        <v>187</v>
      </c>
      <c r="D91" s="6" t="n">
        <v>991</v>
      </c>
      <c r="E91" s="16" t="n">
        <v>0.351</v>
      </c>
      <c r="F91" s="26" t="n">
        <v>12</v>
      </c>
      <c r="G91" s="6" t="n">
        <v>0</v>
      </c>
      <c r="H91" s="6" t="n">
        <v>3</v>
      </c>
      <c r="I91" s="6" t="n">
        <v>0</v>
      </c>
      <c r="J91" s="15" t="n">
        <f aca="false">IF(D91=0,"-",G91/D91*1000)</f>
        <v>0</v>
      </c>
      <c r="K91" s="7" t="s">
        <v>90</v>
      </c>
    </row>
    <row r="92" customFormat="false" ht="15" hidden="false" customHeight="false" outlineLevel="0" collapsed="false">
      <c r="A92" s="7" t="s">
        <v>35</v>
      </c>
      <c r="B92" s="8" t="s">
        <v>106</v>
      </c>
      <c r="C92" s="8" t="s">
        <v>188</v>
      </c>
      <c r="D92" s="6" t="n">
        <v>977</v>
      </c>
      <c r="E92" s="16" t="n">
        <v>0.464</v>
      </c>
      <c r="F92" s="26" t="n">
        <v>17</v>
      </c>
      <c r="G92" s="6" t="n">
        <v>0</v>
      </c>
      <c r="H92" s="6" t="n">
        <v>3</v>
      </c>
      <c r="I92" s="6" t="n">
        <v>0</v>
      </c>
      <c r="J92" s="15" t="n">
        <f aca="false">IF(D92=0,"-",G92/D92*1000)</f>
        <v>0</v>
      </c>
      <c r="K92" s="7" t="s">
        <v>90</v>
      </c>
    </row>
    <row r="93" customFormat="false" ht="15" hidden="false" customHeight="false" outlineLevel="0" collapsed="false">
      <c r="A93" s="7" t="s">
        <v>35</v>
      </c>
      <c r="B93" s="8" t="s">
        <v>168</v>
      </c>
      <c r="C93" s="7" t="s">
        <v>189</v>
      </c>
      <c r="D93" s="6" t="n">
        <v>973</v>
      </c>
      <c r="E93" s="16" t="n">
        <v>0.798</v>
      </c>
      <c r="F93" s="26" t="n">
        <v>16</v>
      </c>
      <c r="G93" s="6" t="n">
        <v>0</v>
      </c>
      <c r="H93" s="6" t="n">
        <v>4</v>
      </c>
      <c r="I93" s="6" t="n">
        <v>0</v>
      </c>
      <c r="J93" s="15" t="n">
        <f aca="false">IF(D93=0,"-",G93/D93*1000)</f>
        <v>0</v>
      </c>
      <c r="K93" s="7" t="s">
        <v>90</v>
      </c>
    </row>
    <row r="94" customFormat="false" ht="15" hidden="false" customHeight="false" outlineLevel="0" collapsed="false">
      <c r="A94" s="7" t="s">
        <v>35</v>
      </c>
      <c r="B94" s="8" t="s">
        <v>108</v>
      </c>
      <c r="C94" s="7" t="s">
        <v>190</v>
      </c>
      <c r="D94" s="6" t="n">
        <v>963</v>
      </c>
      <c r="E94" s="16" t="n">
        <v>0.495</v>
      </c>
      <c r="F94" s="26" t="n">
        <v>13</v>
      </c>
      <c r="G94" s="6" t="n">
        <v>1</v>
      </c>
      <c r="H94" s="6" t="n">
        <v>8</v>
      </c>
      <c r="I94" s="6" t="n">
        <v>0</v>
      </c>
      <c r="J94" s="15" t="n">
        <f aca="false">IF(D94=0,"-",G94/D94*1000)</f>
        <v>1.03842159916926</v>
      </c>
      <c r="K94" s="7" t="s">
        <v>90</v>
      </c>
    </row>
    <row r="95" customFormat="false" ht="15" hidden="false" customHeight="false" outlineLevel="0" collapsed="false">
      <c r="A95" s="8" t="s">
        <v>29</v>
      </c>
      <c r="B95" s="8" t="s">
        <v>84</v>
      </c>
      <c r="C95" s="8" t="s">
        <v>191</v>
      </c>
      <c r="D95" s="6" t="n">
        <v>961</v>
      </c>
      <c r="E95" s="16" t="n">
        <v>0.459</v>
      </c>
      <c r="F95" s="26" t="n">
        <v>14</v>
      </c>
      <c r="G95" s="6" t="n">
        <v>0</v>
      </c>
      <c r="H95" s="6" t="n">
        <v>3</v>
      </c>
      <c r="I95" s="6" t="n">
        <v>0</v>
      </c>
      <c r="J95" s="15" t="n">
        <f aca="false">IF(D95=0,"-",G95/D95*1000)</f>
        <v>0</v>
      </c>
      <c r="K95" s="7" t="s">
        <v>90</v>
      </c>
    </row>
    <row r="96" customFormat="false" ht="15" hidden="false" customHeight="false" outlineLevel="0" collapsed="false">
      <c r="A96" s="8" t="s">
        <v>29</v>
      </c>
      <c r="B96" s="8" t="s">
        <v>112</v>
      </c>
      <c r="C96" s="7" t="s">
        <v>192</v>
      </c>
      <c r="D96" s="6" t="n">
        <v>951</v>
      </c>
      <c r="E96" s="16" t="n">
        <v>0.389</v>
      </c>
      <c r="F96" s="26" t="n">
        <v>12</v>
      </c>
      <c r="G96" s="6" t="n">
        <v>1</v>
      </c>
      <c r="H96" s="6" t="n">
        <v>2</v>
      </c>
      <c r="I96" s="6" t="n">
        <v>0</v>
      </c>
      <c r="J96" s="15" t="n">
        <f aca="false">IF(D96=0,"-",G96/D96*1000)</f>
        <v>1.0515247108307</v>
      </c>
      <c r="K96" s="7" t="s">
        <v>90</v>
      </c>
    </row>
    <row r="97" customFormat="false" ht="15" hidden="false" customHeight="false" outlineLevel="0" collapsed="false">
      <c r="A97" s="8" t="s">
        <v>29</v>
      </c>
      <c r="B97" s="8" t="s">
        <v>184</v>
      </c>
      <c r="C97" s="7" t="s">
        <v>193</v>
      </c>
      <c r="D97" s="6" t="n">
        <v>948</v>
      </c>
      <c r="E97" s="16" t="n">
        <v>0.488</v>
      </c>
      <c r="F97" s="26" t="n">
        <v>19</v>
      </c>
      <c r="G97" s="6" t="n">
        <v>1</v>
      </c>
      <c r="H97" s="6" t="n">
        <v>1</v>
      </c>
      <c r="I97" s="6" t="n">
        <v>1</v>
      </c>
      <c r="J97" s="15" t="n">
        <f aca="false">IF(D97=0,"-",G97/D97*1000)</f>
        <v>1.05485232067511</v>
      </c>
      <c r="K97" s="7" t="s">
        <v>90</v>
      </c>
    </row>
    <row r="98" customFormat="false" ht="15" hidden="false" customHeight="false" outlineLevel="0" collapsed="false">
      <c r="A98" s="7" t="s">
        <v>35</v>
      </c>
      <c r="B98" s="8" t="s">
        <v>106</v>
      </c>
      <c r="C98" s="7" t="s">
        <v>194</v>
      </c>
      <c r="D98" s="6" t="n">
        <v>937</v>
      </c>
      <c r="E98" s="16" t="n">
        <v>0.359</v>
      </c>
      <c r="F98" s="26" t="n">
        <v>16</v>
      </c>
      <c r="G98" s="6" t="n">
        <v>1</v>
      </c>
      <c r="H98" s="6" t="n">
        <v>4</v>
      </c>
      <c r="I98" s="6" t="n">
        <v>0</v>
      </c>
      <c r="J98" s="15" t="n">
        <f aca="false">IF(D98=0,"-",G98/D98*1000)</f>
        <v>1.06723585912487</v>
      </c>
      <c r="K98" s="7" t="s">
        <v>90</v>
      </c>
    </row>
    <row r="99" customFormat="false" ht="15" hidden="false" customHeight="false" outlineLevel="0" collapsed="false">
      <c r="A99" s="8" t="s">
        <v>29</v>
      </c>
      <c r="B99" s="8" t="s">
        <v>77</v>
      </c>
      <c r="C99" s="8" t="s">
        <v>195</v>
      </c>
      <c r="D99" s="6" t="n">
        <v>920</v>
      </c>
      <c r="E99" s="16" t="n">
        <v>0.512</v>
      </c>
      <c r="F99" s="26" t="n">
        <v>15</v>
      </c>
      <c r="G99" s="6" t="n">
        <v>0</v>
      </c>
      <c r="H99" s="6" t="n">
        <v>5</v>
      </c>
      <c r="I99" s="6" t="n">
        <v>0</v>
      </c>
      <c r="J99" s="15" t="n">
        <f aca="false">IF(D99=0,"-",G99/D99*1000)</f>
        <v>0</v>
      </c>
      <c r="K99" s="7" t="s">
        <v>90</v>
      </c>
    </row>
    <row r="100" customFormat="false" ht="15" hidden="false" customHeight="false" outlineLevel="0" collapsed="false">
      <c r="A100" s="8" t="s">
        <v>29</v>
      </c>
      <c r="B100" s="8" t="s">
        <v>152</v>
      </c>
      <c r="C100" s="7" t="s">
        <v>196</v>
      </c>
      <c r="D100" s="6" t="n">
        <v>915</v>
      </c>
      <c r="E100" s="16" t="n">
        <v>0.483</v>
      </c>
      <c r="F100" s="26" t="n">
        <v>17</v>
      </c>
      <c r="G100" s="6" t="n">
        <v>0</v>
      </c>
      <c r="H100" s="6" t="n">
        <v>1</v>
      </c>
      <c r="I100" s="6" t="n">
        <v>0</v>
      </c>
      <c r="J100" s="15" t="n">
        <f aca="false">IF(D100=0,"-",G100/D100*1000)</f>
        <v>0</v>
      </c>
      <c r="K100" s="7" t="s">
        <v>90</v>
      </c>
    </row>
    <row r="101" customFormat="false" ht="15" hidden="false" customHeight="false" outlineLevel="0" collapsed="false">
      <c r="A101" s="7" t="s">
        <v>35</v>
      </c>
      <c r="B101" s="8" t="s">
        <v>184</v>
      </c>
      <c r="C101" s="7" t="s">
        <v>197</v>
      </c>
      <c r="D101" s="6" t="n">
        <v>903</v>
      </c>
      <c r="E101" s="16" t="n">
        <v>1.033</v>
      </c>
      <c r="F101" s="26" t="n">
        <v>39</v>
      </c>
      <c r="G101" s="6" t="n">
        <v>0</v>
      </c>
      <c r="H101" s="6" t="n">
        <v>5</v>
      </c>
      <c r="I101" s="6" t="n">
        <v>0</v>
      </c>
      <c r="J101" s="15" t="n">
        <f aca="false">IF(D101=0,"-",G101/D101*1000)</f>
        <v>0</v>
      </c>
      <c r="K101" s="7" t="s">
        <v>90</v>
      </c>
    </row>
    <row r="102" customFormat="false" ht="15" hidden="false" customHeight="false" outlineLevel="0" collapsed="false">
      <c r="A102" s="8" t="s">
        <v>29</v>
      </c>
      <c r="B102" s="8" t="s">
        <v>102</v>
      </c>
      <c r="C102" s="7" t="s">
        <v>198</v>
      </c>
      <c r="D102" s="6" t="n">
        <v>896</v>
      </c>
      <c r="E102" s="16" t="n">
        <v>0.409</v>
      </c>
      <c r="F102" s="26" t="n">
        <v>16</v>
      </c>
      <c r="G102" s="6" t="n">
        <v>1</v>
      </c>
      <c r="H102" s="6" t="n">
        <v>2</v>
      </c>
      <c r="I102" s="6" t="n">
        <v>2</v>
      </c>
      <c r="J102" s="15" t="n">
        <f aca="false">IF(D102=0,"-",G102/D102*1000)</f>
        <v>1.11607142857143</v>
      </c>
      <c r="K102" s="7" t="s">
        <v>90</v>
      </c>
    </row>
    <row r="103" customFormat="false" ht="15" hidden="false" customHeight="false" outlineLevel="0" collapsed="false">
      <c r="A103" s="7" t="s">
        <v>35</v>
      </c>
      <c r="B103" s="8" t="s">
        <v>81</v>
      </c>
      <c r="C103" s="7" t="s">
        <v>199</v>
      </c>
      <c r="D103" s="6" t="n">
        <v>894</v>
      </c>
      <c r="E103" s="16" t="n">
        <v>0.389</v>
      </c>
      <c r="F103" s="26" t="n">
        <v>11</v>
      </c>
      <c r="G103" s="6" t="n">
        <v>1</v>
      </c>
      <c r="H103" s="6" t="n">
        <v>0</v>
      </c>
      <c r="I103" s="6" t="n">
        <v>0</v>
      </c>
      <c r="J103" s="15" t="n">
        <f aca="false">IF(D103=0,"-",G103/D103*1000)</f>
        <v>1.11856823266219</v>
      </c>
      <c r="K103" s="7" t="s">
        <v>90</v>
      </c>
    </row>
    <row r="104" customFormat="false" ht="15" hidden="false" customHeight="false" outlineLevel="0" collapsed="false">
      <c r="A104" s="7" t="s">
        <v>35</v>
      </c>
      <c r="B104" s="8" t="s">
        <v>93</v>
      </c>
      <c r="C104" s="7" t="s">
        <v>200</v>
      </c>
      <c r="D104" s="6" t="n">
        <v>894</v>
      </c>
      <c r="E104" s="16" t="n">
        <v>0.774</v>
      </c>
      <c r="F104" s="26" t="n">
        <v>20</v>
      </c>
      <c r="G104" s="6" t="n">
        <v>3</v>
      </c>
      <c r="H104" s="6" t="n">
        <v>2</v>
      </c>
      <c r="I104" s="6" t="n">
        <v>0</v>
      </c>
      <c r="J104" s="15" t="n">
        <f aca="false">IF(D104=0,"-",G104/D104*1000)</f>
        <v>3.35570469798658</v>
      </c>
      <c r="K104" s="7" t="s">
        <v>90</v>
      </c>
    </row>
    <row r="105" customFormat="false" ht="15" hidden="false" customHeight="false" outlineLevel="0" collapsed="false">
      <c r="A105" s="7" t="s">
        <v>35</v>
      </c>
      <c r="B105" s="8" t="s">
        <v>152</v>
      </c>
      <c r="C105" s="7" t="s">
        <v>201</v>
      </c>
      <c r="D105" s="6" t="n">
        <v>879</v>
      </c>
      <c r="E105" s="16" t="n">
        <v>0.394</v>
      </c>
      <c r="F105" s="26" t="n">
        <v>14</v>
      </c>
      <c r="G105" s="6" t="n">
        <v>0</v>
      </c>
      <c r="H105" s="6" t="n">
        <v>2</v>
      </c>
      <c r="I105" s="6" t="n">
        <v>0</v>
      </c>
      <c r="J105" s="15" t="n">
        <f aca="false">IF(D105=0,"-",G105/D105*1000)</f>
        <v>0</v>
      </c>
      <c r="K105" s="7" t="s">
        <v>90</v>
      </c>
    </row>
    <row r="106" customFormat="false" ht="15" hidden="false" customHeight="false" outlineLevel="0" collapsed="false">
      <c r="A106" s="7" t="s">
        <v>35</v>
      </c>
      <c r="B106" s="8" t="s">
        <v>163</v>
      </c>
      <c r="C106" s="7" t="s">
        <v>202</v>
      </c>
      <c r="D106" s="6" t="n">
        <v>870</v>
      </c>
      <c r="E106" s="16" t="n">
        <v>0.435</v>
      </c>
      <c r="F106" s="26" t="n">
        <v>13</v>
      </c>
      <c r="G106" s="6" t="n">
        <v>0</v>
      </c>
      <c r="H106" s="6" t="n">
        <v>1</v>
      </c>
      <c r="I106" s="6" t="n">
        <v>1</v>
      </c>
      <c r="J106" s="15" t="n">
        <f aca="false">IF(D106=0,"-",G106/D106*1000)</f>
        <v>0</v>
      </c>
      <c r="K106" s="7" t="s">
        <v>90</v>
      </c>
    </row>
    <row r="107" customFormat="false" ht="15" hidden="false" customHeight="false" outlineLevel="0" collapsed="false">
      <c r="A107" s="8" t="s">
        <v>29</v>
      </c>
      <c r="B107" s="8" t="s">
        <v>77</v>
      </c>
      <c r="C107" s="8" t="s">
        <v>203</v>
      </c>
      <c r="D107" s="6" t="n">
        <v>870</v>
      </c>
      <c r="E107" s="16" t="n">
        <v>0.52</v>
      </c>
      <c r="F107" s="26" t="n">
        <v>15</v>
      </c>
      <c r="G107" s="6" t="n">
        <v>0</v>
      </c>
      <c r="H107" s="6" t="n">
        <v>9</v>
      </c>
      <c r="I107" s="6" t="n">
        <v>0</v>
      </c>
      <c r="J107" s="15" t="n">
        <f aca="false">IF(D107=0,"-",G107/D107*1000)</f>
        <v>0</v>
      </c>
      <c r="K107" s="7" t="s">
        <v>90</v>
      </c>
    </row>
    <row r="108" customFormat="false" ht="15" hidden="false" customHeight="false" outlineLevel="0" collapsed="false">
      <c r="A108" s="8" t="s">
        <v>29</v>
      </c>
      <c r="B108" s="8" t="s">
        <v>93</v>
      </c>
      <c r="C108" s="7" t="s">
        <v>204</v>
      </c>
      <c r="D108" s="6" t="n">
        <v>864</v>
      </c>
      <c r="E108" s="16" t="n">
        <v>0.551</v>
      </c>
      <c r="F108" s="26" t="n">
        <v>11</v>
      </c>
      <c r="G108" s="6" t="n">
        <v>1</v>
      </c>
      <c r="H108" s="6" t="n">
        <v>5</v>
      </c>
      <c r="I108" s="6" t="n">
        <v>0</v>
      </c>
      <c r="J108" s="15" t="n">
        <f aca="false">IF(D108=0,"-",G108/D108*1000)</f>
        <v>1.15740740740741</v>
      </c>
      <c r="K108" s="7" t="s">
        <v>90</v>
      </c>
    </row>
    <row r="109" customFormat="false" ht="15" hidden="false" customHeight="false" outlineLevel="0" collapsed="false">
      <c r="A109" s="7" t="s">
        <v>35</v>
      </c>
      <c r="B109" s="8" t="s">
        <v>160</v>
      </c>
      <c r="C109" s="7" t="s">
        <v>205</v>
      </c>
      <c r="D109" s="6" t="n">
        <v>861</v>
      </c>
      <c r="E109" s="16" t="n">
        <v>1.189</v>
      </c>
      <c r="F109" s="26" t="n">
        <v>38</v>
      </c>
      <c r="G109" s="6" t="n">
        <v>1</v>
      </c>
      <c r="H109" s="6" t="n">
        <v>2</v>
      </c>
      <c r="I109" s="6" t="n">
        <v>0</v>
      </c>
      <c r="J109" s="15" t="n">
        <f aca="false">IF(D109=0,"-",G109/D109*1000)</f>
        <v>1.16144018583043</v>
      </c>
      <c r="K109" s="7" t="s">
        <v>90</v>
      </c>
    </row>
    <row r="110" customFormat="false" ht="15" hidden="false" customHeight="false" outlineLevel="0" collapsed="false">
      <c r="A110" s="7" t="s">
        <v>35</v>
      </c>
      <c r="B110" s="8" t="s">
        <v>100</v>
      </c>
      <c r="C110" s="7" t="s">
        <v>206</v>
      </c>
      <c r="D110" s="6" t="n">
        <v>857</v>
      </c>
      <c r="E110" s="16" t="n">
        <v>0.478</v>
      </c>
      <c r="F110" s="26" t="n">
        <v>14</v>
      </c>
      <c r="G110" s="6" t="n">
        <v>0</v>
      </c>
      <c r="H110" s="6" t="n">
        <v>4</v>
      </c>
      <c r="I110" s="6" t="n">
        <v>0</v>
      </c>
      <c r="J110" s="15" t="n">
        <f aca="false">IF(D110=0,"-",G110/D110*1000)</f>
        <v>0</v>
      </c>
      <c r="K110" s="7" t="s">
        <v>90</v>
      </c>
    </row>
    <row r="111" customFormat="false" ht="15" hidden="false" customHeight="false" outlineLevel="0" collapsed="false">
      <c r="A111" s="8" t="s">
        <v>29</v>
      </c>
      <c r="B111" s="8" t="s">
        <v>184</v>
      </c>
      <c r="C111" s="7" t="s">
        <v>207</v>
      </c>
      <c r="D111" s="6" t="n">
        <v>848</v>
      </c>
      <c r="E111" s="16" t="n">
        <v>0.633</v>
      </c>
      <c r="F111" s="26" t="n">
        <v>22</v>
      </c>
      <c r="G111" s="6" t="n">
        <v>1</v>
      </c>
      <c r="H111" s="6" t="n">
        <v>4</v>
      </c>
      <c r="I111" s="6" t="n">
        <v>0</v>
      </c>
      <c r="J111" s="15" t="n">
        <f aca="false">IF(D111=0,"-",G111/D111*1000)</f>
        <v>1.17924528301887</v>
      </c>
      <c r="K111" s="7" t="s">
        <v>90</v>
      </c>
    </row>
    <row r="112" customFormat="false" ht="15" hidden="false" customHeight="false" outlineLevel="0" collapsed="false">
      <c r="A112" s="8" t="s">
        <v>29</v>
      </c>
      <c r="B112" s="8" t="s">
        <v>93</v>
      </c>
      <c r="C112" s="7" t="s">
        <v>208</v>
      </c>
      <c r="D112" s="6" t="n">
        <v>838</v>
      </c>
      <c r="E112" s="16" t="n">
        <v>0.725</v>
      </c>
      <c r="F112" s="26" t="n">
        <v>25</v>
      </c>
      <c r="G112" s="6" t="n">
        <v>0</v>
      </c>
      <c r="H112" s="6" t="n">
        <v>3</v>
      </c>
      <c r="I112" s="6" t="n">
        <v>0</v>
      </c>
      <c r="J112" s="15" t="n">
        <f aca="false">IF(D112=0,"-",G112/D112*1000)</f>
        <v>0</v>
      </c>
      <c r="K112" s="7" t="s">
        <v>90</v>
      </c>
    </row>
    <row r="113" customFormat="false" ht="15" hidden="false" customHeight="false" outlineLevel="0" collapsed="false">
      <c r="A113" s="8" t="s">
        <v>29</v>
      </c>
      <c r="B113" s="8" t="s">
        <v>160</v>
      </c>
      <c r="C113" s="7" t="s">
        <v>209</v>
      </c>
      <c r="D113" s="6" t="n">
        <v>835</v>
      </c>
      <c r="E113" s="16" t="n">
        <v>0.595</v>
      </c>
      <c r="F113" s="26" t="n">
        <v>19</v>
      </c>
      <c r="G113" s="6" t="n">
        <v>2</v>
      </c>
      <c r="H113" s="6" t="n">
        <v>6</v>
      </c>
      <c r="I113" s="6" t="n">
        <v>0</v>
      </c>
      <c r="J113" s="15" t="n">
        <f aca="false">IF(D113=0,"-",G113/D113*1000)</f>
        <v>2.39520958083832</v>
      </c>
      <c r="K113" s="7" t="s">
        <v>90</v>
      </c>
    </row>
    <row r="114" customFormat="false" ht="15" hidden="false" customHeight="false" outlineLevel="0" collapsed="false">
      <c r="A114" s="7" t="s">
        <v>35</v>
      </c>
      <c r="B114" s="8" t="s">
        <v>102</v>
      </c>
      <c r="C114" s="7" t="s">
        <v>210</v>
      </c>
      <c r="D114" s="6" t="n">
        <v>832</v>
      </c>
      <c r="E114" s="16" t="n">
        <v>0.516</v>
      </c>
      <c r="F114" s="26" t="n">
        <v>18</v>
      </c>
      <c r="G114" s="6" t="n">
        <v>1</v>
      </c>
      <c r="H114" s="6" t="n">
        <v>4</v>
      </c>
      <c r="I114" s="6" t="n">
        <v>1</v>
      </c>
      <c r="J114" s="15" t="n">
        <f aca="false">IF(D114=0,"-",G114/D114*1000)</f>
        <v>1.20192307692308</v>
      </c>
      <c r="K114" s="7" t="s">
        <v>90</v>
      </c>
    </row>
    <row r="115" customFormat="false" ht="15" hidden="false" customHeight="false" outlineLevel="0" collapsed="false">
      <c r="A115" s="8" t="s">
        <v>29</v>
      </c>
      <c r="B115" s="8" t="s">
        <v>160</v>
      </c>
      <c r="C115" s="7" t="s">
        <v>211</v>
      </c>
      <c r="D115" s="6" t="n">
        <v>828</v>
      </c>
      <c r="E115" s="16" t="n">
        <v>0.515</v>
      </c>
      <c r="F115" s="26" t="n">
        <v>13</v>
      </c>
      <c r="G115" s="6" t="n">
        <v>2</v>
      </c>
      <c r="H115" s="6" t="n">
        <v>4</v>
      </c>
      <c r="I115" s="6" t="n">
        <v>0</v>
      </c>
      <c r="J115" s="15" t="n">
        <f aca="false">IF(D115=0,"-",G115/D115*1000)</f>
        <v>2.41545893719807</v>
      </c>
      <c r="K115" s="7" t="s">
        <v>90</v>
      </c>
    </row>
    <row r="116" customFormat="false" ht="15" hidden="false" customHeight="false" outlineLevel="0" collapsed="false">
      <c r="A116" s="8" t="s">
        <v>29</v>
      </c>
      <c r="B116" s="8" t="s">
        <v>152</v>
      </c>
      <c r="C116" s="7" t="s">
        <v>212</v>
      </c>
      <c r="D116" s="6" t="n">
        <v>826</v>
      </c>
      <c r="E116" s="16" t="n">
        <v>0.352</v>
      </c>
      <c r="F116" s="26" t="n">
        <v>15</v>
      </c>
      <c r="G116" s="6" t="n">
        <v>1</v>
      </c>
      <c r="H116" s="6" t="n">
        <v>3</v>
      </c>
      <c r="I116" s="6" t="n">
        <v>0</v>
      </c>
      <c r="J116" s="15" t="n">
        <f aca="false">IF(D116=0,"-",G116/D116*1000)</f>
        <v>1.21065375302663</v>
      </c>
      <c r="K116" s="7" t="s">
        <v>90</v>
      </c>
    </row>
    <row r="117" customFormat="false" ht="15" hidden="false" customHeight="false" outlineLevel="0" collapsed="false">
      <c r="A117" s="8" t="s">
        <v>29</v>
      </c>
      <c r="B117" s="8" t="s">
        <v>152</v>
      </c>
      <c r="C117" s="7" t="s">
        <v>213</v>
      </c>
      <c r="D117" s="6" t="n">
        <v>822</v>
      </c>
      <c r="E117" s="16" t="n">
        <v>0.452</v>
      </c>
      <c r="F117" s="26" t="n">
        <v>18</v>
      </c>
      <c r="G117" s="6" t="n">
        <v>3</v>
      </c>
      <c r="H117" s="6" t="n">
        <v>4</v>
      </c>
      <c r="I117" s="6" t="n">
        <v>0</v>
      </c>
      <c r="J117" s="15" t="n">
        <f aca="false">IF(D117=0,"-",G117/D117*1000)</f>
        <v>3.64963503649635</v>
      </c>
      <c r="K117" s="7" t="s">
        <v>90</v>
      </c>
    </row>
    <row r="118" customFormat="false" ht="15" hidden="false" customHeight="false" outlineLevel="0" collapsed="false">
      <c r="A118" s="7" t="s">
        <v>35</v>
      </c>
      <c r="B118" s="8" t="s">
        <v>102</v>
      </c>
      <c r="C118" s="7" t="s">
        <v>214</v>
      </c>
      <c r="D118" s="6" t="n">
        <v>819</v>
      </c>
      <c r="E118" s="16" t="n">
        <v>0.368</v>
      </c>
      <c r="F118" s="26" t="n">
        <v>9</v>
      </c>
      <c r="G118" s="6" t="n">
        <v>2</v>
      </c>
      <c r="H118" s="6" t="n">
        <v>1</v>
      </c>
      <c r="I118" s="6" t="n">
        <v>0</v>
      </c>
      <c r="J118" s="15" t="n">
        <f aca="false">IF(D118=0,"-",G118/D118*1000)</f>
        <v>2.44200244200244</v>
      </c>
      <c r="K118" s="7" t="s">
        <v>90</v>
      </c>
    </row>
    <row r="119" customFormat="false" ht="15" hidden="false" customHeight="false" outlineLevel="0" collapsed="false">
      <c r="A119" s="7" t="s">
        <v>35</v>
      </c>
      <c r="B119" s="8" t="s">
        <v>184</v>
      </c>
      <c r="C119" s="7" t="s">
        <v>215</v>
      </c>
      <c r="D119" s="6" t="n">
        <v>812</v>
      </c>
      <c r="E119" s="16" t="n">
        <v>0.43</v>
      </c>
      <c r="F119" s="26" t="n">
        <v>13</v>
      </c>
      <c r="G119" s="6" t="n">
        <v>1</v>
      </c>
      <c r="H119" s="6" t="n">
        <v>4</v>
      </c>
      <c r="I119" s="6" t="n">
        <v>0</v>
      </c>
      <c r="J119" s="15" t="n">
        <f aca="false">IF(D119=0,"-",G119/D119*1000)</f>
        <v>1.23152709359606</v>
      </c>
      <c r="K119" s="7" t="s">
        <v>90</v>
      </c>
    </row>
    <row r="120" customFormat="false" ht="15" hidden="false" customHeight="false" outlineLevel="0" collapsed="false">
      <c r="A120" s="8" t="s">
        <v>29</v>
      </c>
      <c r="B120" s="8" t="s">
        <v>106</v>
      </c>
      <c r="C120" s="7" t="s">
        <v>216</v>
      </c>
      <c r="D120" s="6" t="n">
        <v>810</v>
      </c>
      <c r="E120" s="16" t="n">
        <v>0.499</v>
      </c>
      <c r="F120" s="26" t="n">
        <v>17</v>
      </c>
      <c r="G120" s="6" t="n">
        <v>0</v>
      </c>
      <c r="H120" s="6" t="n">
        <v>4</v>
      </c>
      <c r="I120" s="6" t="n">
        <v>0</v>
      </c>
      <c r="J120" s="15" t="n">
        <f aca="false">IF(D120=0,"-",G120/D120*1000)</f>
        <v>0</v>
      </c>
      <c r="K120" s="7" t="s">
        <v>90</v>
      </c>
    </row>
    <row r="121" customFormat="false" ht="15" hidden="false" customHeight="false" outlineLevel="0" collapsed="false">
      <c r="A121" s="8" t="s">
        <v>29</v>
      </c>
      <c r="B121" s="8" t="s">
        <v>93</v>
      </c>
      <c r="C121" s="7" t="s">
        <v>217</v>
      </c>
      <c r="D121" s="6" t="n">
        <v>802</v>
      </c>
      <c r="E121" s="16" t="n">
        <v>0.743</v>
      </c>
      <c r="F121" s="26" t="n">
        <v>27</v>
      </c>
      <c r="G121" s="6" t="n">
        <v>0</v>
      </c>
      <c r="H121" s="6" t="n">
        <v>1</v>
      </c>
      <c r="I121" s="6" t="n">
        <v>0</v>
      </c>
      <c r="J121" s="15" t="n">
        <f aca="false">IF(D121=0,"-",G121/D121*1000)</f>
        <v>0</v>
      </c>
      <c r="K121" s="7" t="s">
        <v>90</v>
      </c>
    </row>
    <row r="122" customFormat="false" ht="15" hidden="false" customHeight="false" outlineLevel="0" collapsed="false">
      <c r="A122" s="7" t="s">
        <v>35</v>
      </c>
      <c r="B122" s="8" t="s">
        <v>88</v>
      </c>
      <c r="C122" s="7" t="s">
        <v>218</v>
      </c>
      <c r="D122" s="6" t="n">
        <v>800</v>
      </c>
      <c r="E122" s="16" t="n">
        <v>0.366</v>
      </c>
      <c r="F122" s="26" t="n">
        <v>12</v>
      </c>
      <c r="G122" s="6" t="n">
        <v>0</v>
      </c>
      <c r="H122" s="6" t="n">
        <v>1</v>
      </c>
      <c r="I122" s="6" t="n">
        <v>1</v>
      </c>
      <c r="J122" s="15" t="n">
        <f aca="false">IF(D122=0,"-",G122/D122*1000)</f>
        <v>0</v>
      </c>
      <c r="K122" s="7" t="s">
        <v>90</v>
      </c>
    </row>
    <row r="123" customFormat="false" ht="15" hidden="false" customHeight="false" outlineLevel="0" collapsed="false">
      <c r="A123" s="8" t="s">
        <v>29</v>
      </c>
      <c r="B123" s="8" t="s">
        <v>95</v>
      </c>
      <c r="C123" s="7" t="s">
        <v>219</v>
      </c>
      <c r="D123" s="6" t="n">
        <v>787</v>
      </c>
      <c r="E123" s="16" t="n">
        <v>0.695</v>
      </c>
      <c r="F123" s="26" t="n">
        <v>20</v>
      </c>
      <c r="G123" s="6" t="n">
        <v>0</v>
      </c>
      <c r="H123" s="6" t="n">
        <v>1</v>
      </c>
      <c r="I123" s="6" t="n">
        <v>0</v>
      </c>
      <c r="J123" s="15" t="n">
        <f aca="false">IF(D123=0,"-",G123/D123*1000)</f>
        <v>0</v>
      </c>
      <c r="K123" s="7" t="s">
        <v>90</v>
      </c>
    </row>
    <row r="124" customFormat="false" ht="15" hidden="false" customHeight="false" outlineLevel="0" collapsed="false">
      <c r="A124" s="7" t="s">
        <v>35</v>
      </c>
      <c r="B124" s="8" t="s">
        <v>168</v>
      </c>
      <c r="C124" s="7" t="s">
        <v>220</v>
      </c>
      <c r="D124" s="6" t="n">
        <v>779</v>
      </c>
      <c r="E124" s="16" t="n">
        <v>0.365</v>
      </c>
      <c r="F124" s="26" t="n">
        <v>11</v>
      </c>
      <c r="G124" s="6" t="n">
        <v>0</v>
      </c>
      <c r="H124" s="6" t="n">
        <v>2</v>
      </c>
      <c r="I124" s="6" t="n">
        <v>0</v>
      </c>
      <c r="J124" s="15" t="n">
        <f aca="false">IF(D124=0,"-",G124/D124*1000)</f>
        <v>0</v>
      </c>
      <c r="K124" s="7" t="s">
        <v>90</v>
      </c>
    </row>
    <row r="125" customFormat="false" ht="15" hidden="false" customHeight="false" outlineLevel="0" collapsed="false">
      <c r="A125" s="7" t="s">
        <v>35</v>
      </c>
      <c r="B125" s="8" t="s">
        <v>88</v>
      </c>
      <c r="C125" s="7" t="s">
        <v>221</v>
      </c>
      <c r="D125" s="6" t="n">
        <v>777</v>
      </c>
      <c r="E125" s="16" t="n">
        <v>0.534</v>
      </c>
      <c r="F125" s="26" t="n">
        <v>14</v>
      </c>
      <c r="G125" s="6" t="n">
        <v>0</v>
      </c>
      <c r="H125" s="6" t="n">
        <v>4</v>
      </c>
      <c r="I125" s="6" t="n">
        <v>0</v>
      </c>
      <c r="J125" s="15" t="n">
        <f aca="false">IF(D125=0,"-",G125/D125*1000)</f>
        <v>0</v>
      </c>
      <c r="K125" s="7" t="s">
        <v>90</v>
      </c>
    </row>
    <row r="126" customFormat="false" ht="15" hidden="false" customHeight="false" outlineLevel="0" collapsed="false">
      <c r="A126" s="8" t="s">
        <v>29</v>
      </c>
      <c r="B126" s="8" t="s">
        <v>98</v>
      </c>
      <c r="C126" s="8" t="s">
        <v>222</v>
      </c>
      <c r="D126" s="6" t="n">
        <v>777</v>
      </c>
      <c r="E126" s="16" t="n">
        <v>0.471</v>
      </c>
      <c r="F126" s="26" t="n">
        <v>14</v>
      </c>
      <c r="G126" s="6" t="n">
        <v>1</v>
      </c>
      <c r="H126" s="6" t="n">
        <v>2</v>
      </c>
      <c r="I126" s="6" t="n">
        <v>0</v>
      </c>
      <c r="J126" s="15" t="n">
        <f aca="false">IF(D126=0,"-",G126/D126*1000)</f>
        <v>1.28700128700129</v>
      </c>
      <c r="K126" s="7" t="s">
        <v>90</v>
      </c>
    </row>
    <row r="127" customFormat="false" ht="15" hidden="false" customHeight="false" outlineLevel="0" collapsed="false">
      <c r="A127" s="8" t="s">
        <v>29</v>
      </c>
      <c r="B127" s="8" t="s">
        <v>88</v>
      </c>
      <c r="C127" s="7" t="s">
        <v>223</v>
      </c>
      <c r="D127" s="6" t="n">
        <v>777</v>
      </c>
      <c r="E127" s="16" t="n">
        <v>0.537</v>
      </c>
      <c r="F127" s="26" t="n">
        <v>18</v>
      </c>
      <c r="G127" s="6" t="n">
        <v>0</v>
      </c>
      <c r="H127" s="6" t="n">
        <v>3</v>
      </c>
      <c r="I127" s="6" t="n">
        <v>0</v>
      </c>
      <c r="J127" s="15" t="n">
        <f aca="false">IF(D127=0,"-",G127/D127*1000)</f>
        <v>0</v>
      </c>
      <c r="K127" s="7" t="s">
        <v>90</v>
      </c>
    </row>
    <row r="128" customFormat="false" ht="15" hidden="false" customHeight="false" outlineLevel="0" collapsed="false">
      <c r="A128" s="7" t="s">
        <v>35</v>
      </c>
      <c r="B128" s="8" t="s">
        <v>79</v>
      </c>
      <c r="C128" s="7" t="s">
        <v>224</v>
      </c>
      <c r="D128" s="6" t="n">
        <v>755</v>
      </c>
      <c r="E128" s="16" t="n">
        <v>0.429</v>
      </c>
      <c r="F128" s="26" t="n">
        <v>13</v>
      </c>
      <c r="G128" s="6" t="n">
        <v>0</v>
      </c>
      <c r="H128" s="6" t="n">
        <v>2</v>
      </c>
      <c r="I128" s="6" t="n">
        <v>0</v>
      </c>
      <c r="J128" s="15" t="n">
        <f aca="false">IF(D128=0,"-",G128/D128*1000)</f>
        <v>0</v>
      </c>
      <c r="K128" s="7" t="s">
        <v>90</v>
      </c>
    </row>
    <row r="129" customFormat="false" ht="15" hidden="false" customHeight="false" outlineLevel="0" collapsed="false">
      <c r="A129" s="8" t="s">
        <v>29</v>
      </c>
      <c r="B129" s="8" t="s">
        <v>91</v>
      </c>
      <c r="C129" s="8" t="s">
        <v>225</v>
      </c>
      <c r="D129" s="6" t="n">
        <v>751</v>
      </c>
      <c r="E129" s="16" t="n">
        <v>0.486</v>
      </c>
      <c r="F129" s="26" t="n">
        <v>17</v>
      </c>
      <c r="G129" s="6" t="n">
        <v>1</v>
      </c>
      <c r="H129" s="6" t="n">
        <v>5</v>
      </c>
      <c r="I129" s="6" t="n">
        <v>0</v>
      </c>
      <c r="J129" s="15" t="n">
        <f aca="false">IF(D129=0,"-",G129/D129*1000)</f>
        <v>1.33155792276964</v>
      </c>
      <c r="K129" s="7" t="s">
        <v>90</v>
      </c>
    </row>
    <row r="130" customFormat="false" ht="15" hidden="false" customHeight="false" outlineLevel="0" collapsed="false">
      <c r="A130" s="7" t="s">
        <v>35</v>
      </c>
      <c r="B130" s="8" t="s">
        <v>168</v>
      </c>
      <c r="C130" s="7" t="s">
        <v>226</v>
      </c>
      <c r="D130" s="6" t="n">
        <v>748</v>
      </c>
      <c r="E130" s="16" t="n">
        <v>0.615</v>
      </c>
      <c r="F130" s="26" t="n">
        <v>25</v>
      </c>
      <c r="G130" s="6" t="n">
        <v>0</v>
      </c>
      <c r="H130" s="6" t="n">
        <v>1</v>
      </c>
      <c r="I130" s="6" t="n">
        <v>0</v>
      </c>
      <c r="J130" s="15" t="n">
        <f aca="false">IF(D130=0,"-",G130/D130*1000)</f>
        <v>0</v>
      </c>
      <c r="K130" s="7" t="s">
        <v>90</v>
      </c>
    </row>
    <row r="131" customFormat="false" ht="15" hidden="false" customHeight="false" outlineLevel="0" collapsed="false">
      <c r="A131" s="8" t="s">
        <v>29</v>
      </c>
      <c r="B131" s="8" t="s">
        <v>108</v>
      </c>
      <c r="C131" s="7" t="s">
        <v>227</v>
      </c>
      <c r="D131" s="6" t="n">
        <v>741</v>
      </c>
      <c r="E131" s="16" t="n">
        <v>0.494</v>
      </c>
      <c r="F131" s="26" t="n">
        <v>13</v>
      </c>
      <c r="G131" s="6" t="n">
        <v>0</v>
      </c>
      <c r="H131" s="6" t="n">
        <v>3</v>
      </c>
      <c r="I131" s="6" t="n">
        <v>0</v>
      </c>
      <c r="J131" s="15" t="n">
        <f aca="false">IF(D131=0,"-",G131/D131*1000)</f>
        <v>0</v>
      </c>
      <c r="K131" s="7" t="s">
        <v>90</v>
      </c>
    </row>
    <row r="132" customFormat="false" ht="15" hidden="false" customHeight="false" outlineLevel="0" collapsed="false">
      <c r="A132" s="8" t="s">
        <v>29</v>
      </c>
      <c r="B132" s="8" t="s">
        <v>102</v>
      </c>
      <c r="C132" s="7" t="s">
        <v>228</v>
      </c>
      <c r="D132" s="6" t="n">
        <v>718</v>
      </c>
      <c r="E132" s="16" t="n">
        <v>0.419</v>
      </c>
      <c r="F132" s="26" t="n">
        <v>15</v>
      </c>
      <c r="G132" s="6" t="n">
        <v>0</v>
      </c>
      <c r="H132" s="6" t="n">
        <v>9</v>
      </c>
      <c r="I132" s="6" t="n">
        <v>0</v>
      </c>
      <c r="J132" s="15" t="n">
        <f aca="false">IF(D132=0,"-",G132/D132*1000)</f>
        <v>0</v>
      </c>
      <c r="K132" s="7" t="s">
        <v>90</v>
      </c>
    </row>
    <row r="133" customFormat="false" ht="15" hidden="false" customHeight="false" outlineLevel="0" collapsed="false">
      <c r="A133" s="8" t="s">
        <v>29</v>
      </c>
      <c r="B133" s="8" t="s">
        <v>115</v>
      </c>
      <c r="C133" s="7" t="s">
        <v>229</v>
      </c>
      <c r="D133" s="6" t="n">
        <v>711</v>
      </c>
      <c r="E133" s="16" t="n">
        <v>0.328</v>
      </c>
      <c r="F133" s="26" t="n">
        <v>10</v>
      </c>
      <c r="G133" s="6" t="n">
        <v>0</v>
      </c>
      <c r="H133" s="6" t="n">
        <v>4</v>
      </c>
      <c r="I133" s="6" t="n">
        <v>0</v>
      </c>
      <c r="J133" s="15" t="n">
        <f aca="false">IF(D133=0,"-",G133/D133*1000)</f>
        <v>0</v>
      </c>
      <c r="K133" s="7" t="s">
        <v>90</v>
      </c>
    </row>
    <row r="134" customFormat="false" ht="15" hidden="false" customHeight="false" outlineLevel="0" collapsed="false">
      <c r="A134" s="8" t="s">
        <v>29</v>
      </c>
      <c r="B134" s="8" t="s">
        <v>106</v>
      </c>
      <c r="C134" s="7" t="s">
        <v>230</v>
      </c>
      <c r="D134" s="6" t="n">
        <v>709</v>
      </c>
      <c r="E134" s="16" t="n">
        <v>1.184</v>
      </c>
      <c r="F134" s="26" t="n">
        <v>41</v>
      </c>
      <c r="G134" s="6" t="n">
        <v>1</v>
      </c>
      <c r="H134" s="6" t="n">
        <v>4</v>
      </c>
      <c r="I134" s="6" t="n">
        <v>0</v>
      </c>
      <c r="J134" s="15" t="n">
        <f aca="false">IF(D134=0,"-",G134/D134*1000)</f>
        <v>1.41043723554302</v>
      </c>
      <c r="K134" s="7" t="s">
        <v>90</v>
      </c>
    </row>
    <row r="135" customFormat="false" ht="15" hidden="false" customHeight="false" outlineLevel="0" collapsed="false">
      <c r="A135" s="17" t="s">
        <v>37</v>
      </c>
      <c r="B135" s="17" t="s">
        <v>91</v>
      </c>
      <c r="C135" s="30" t="s">
        <v>231</v>
      </c>
      <c r="D135" s="18" t="n">
        <v>698</v>
      </c>
      <c r="E135" s="20" t="n">
        <v>0.561</v>
      </c>
      <c r="F135" s="31" t="n">
        <v>13</v>
      </c>
      <c r="G135" s="18" t="n">
        <v>0</v>
      </c>
      <c r="H135" s="18" t="n">
        <v>1</v>
      </c>
      <c r="I135" s="18" t="n">
        <v>0</v>
      </c>
      <c r="J135" s="19" t="n">
        <f aca="false">IF(D135=0,"-",G135/D135*1000)</f>
        <v>0</v>
      </c>
      <c r="K135" s="30" t="s">
        <v>232</v>
      </c>
    </row>
    <row r="136" customFormat="false" ht="15" hidden="false" customHeight="false" outlineLevel="0" collapsed="false">
      <c r="A136" s="30" t="s">
        <v>35</v>
      </c>
      <c r="B136" s="17" t="s">
        <v>77</v>
      </c>
      <c r="C136" s="30" t="s">
        <v>233</v>
      </c>
      <c r="D136" s="18" t="n">
        <v>628</v>
      </c>
      <c r="E136" s="20" t="n">
        <v>0.435</v>
      </c>
      <c r="F136" s="31" t="n">
        <v>12</v>
      </c>
      <c r="G136" s="18" t="n">
        <v>0</v>
      </c>
      <c r="H136" s="18" t="n">
        <v>1</v>
      </c>
      <c r="I136" s="18" t="n">
        <v>0</v>
      </c>
      <c r="J136" s="19" t="n">
        <f aca="false">IF(D136=0,"-",G136/D136*1000)</f>
        <v>0</v>
      </c>
      <c r="K136" s="30" t="s">
        <v>232</v>
      </c>
    </row>
    <row r="137" customFormat="false" ht="15" hidden="false" customHeight="false" outlineLevel="0" collapsed="false">
      <c r="A137" s="17" t="s">
        <v>29</v>
      </c>
      <c r="B137" s="17" t="s">
        <v>168</v>
      </c>
      <c r="C137" s="17" t="s">
        <v>234</v>
      </c>
      <c r="D137" s="18" t="n">
        <v>491</v>
      </c>
      <c r="E137" s="20" t="n">
        <v>0.392</v>
      </c>
      <c r="F137" s="31" t="n">
        <v>13</v>
      </c>
      <c r="G137" s="18" t="n">
        <v>0</v>
      </c>
      <c r="H137" s="18" t="n">
        <v>2</v>
      </c>
      <c r="I137" s="18" t="n">
        <v>0</v>
      </c>
      <c r="J137" s="19" t="n">
        <f aca="false">IF(D137=0,"-",G137/D137*1000)</f>
        <v>0</v>
      </c>
      <c r="K137" s="30" t="s">
        <v>232</v>
      </c>
    </row>
    <row r="138" customFormat="false" ht="15" hidden="false" customHeight="false" outlineLevel="0" collapsed="false">
      <c r="A138" s="17" t="s">
        <v>29</v>
      </c>
      <c r="B138" s="17" t="s">
        <v>95</v>
      </c>
      <c r="C138" s="30" t="s">
        <v>235</v>
      </c>
      <c r="D138" s="18" t="n">
        <v>452</v>
      </c>
      <c r="E138" s="20" t="n">
        <v>0.525</v>
      </c>
      <c r="F138" s="31" t="n">
        <v>13</v>
      </c>
      <c r="G138" s="18" t="n">
        <v>0</v>
      </c>
      <c r="H138" s="18" t="n">
        <v>1</v>
      </c>
      <c r="I138" s="18" t="n">
        <v>0</v>
      </c>
      <c r="J138" s="19" t="n">
        <f aca="false">IF(D138=0,"-",G138/D138*1000)</f>
        <v>0</v>
      </c>
      <c r="K138" s="30" t="s">
        <v>232</v>
      </c>
    </row>
    <row r="139" customFormat="false" ht="15" hidden="false" customHeight="false" outlineLevel="0" collapsed="false">
      <c r="A139" s="30" t="s">
        <v>35</v>
      </c>
      <c r="B139" s="17" t="s">
        <v>77</v>
      </c>
      <c r="C139" s="30" t="s">
        <v>236</v>
      </c>
      <c r="D139" s="18" t="n">
        <v>374</v>
      </c>
      <c r="E139" s="20" t="n">
        <v>0.537</v>
      </c>
      <c r="F139" s="31" t="n">
        <v>15</v>
      </c>
      <c r="G139" s="18" t="n">
        <v>0</v>
      </c>
      <c r="H139" s="18" t="n">
        <v>2</v>
      </c>
      <c r="I139" s="18" t="n">
        <v>0</v>
      </c>
      <c r="J139" s="19" t="n">
        <f aca="false">IF(D139=0,"-",G139/D139*1000)</f>
        <v>0</v>
      </c>
      <c r="K139" s="30" t="s">
        <v>232</v>
      </c>
    </row>
    <row r="140" customFormat="false" ht="15" hidden="false" customHeight="false" outlineLevel="0" collapsed="false">
      <c r="A140" s="30" t="s">
        <v>35</v>
      </c>
      <c r="B140" s="17" t="s">
        <v>86</v>
      </c>
      <c r="C140" s="30" t="s">
        <v>237</v>
      </c>
      <c r="D140" s="18" t="n">
        <v>363</v>
      </c>
      <c r="E140" s="20" t="n">
        <v>0.655</v>
      </c>
      <c r="F140" s="31" t="n">
        <v>15</v>
      </c>
      <c r="G140" s="18" t="n">
        <v>0</v>
      </c>
      <c r="H140" s="18" t="n">
        <v>4</v>
      </c>
      <c r="I140" s="18" t="n">
        <v>0</v>
      </c>
      <c r="J140" s="19" t="n">
        <f aca="false">IF(D140=0,"-",G140/D140*1000)</f>
        <v>0</v>
      </c>
      <c r="K140" s="30" t="s">
        <v>232</v>
      </c>
    </row>
    <row r="141" customFormat="false" ht="15" hidden="false" customHeight="false" outlineLevel="0" collapsed="false">
      <c r="A141" s="30" t="s">
        <v>35</v>
      </c>
      <c r="B141" s="17" t="s">
        <v>160</v>
      </c>
      <c r="C141" s="30" t="s">
        <v>238</v>
      </c>
      <c r="D141" s="18" t="n">
        <v>333</v>
      </c>
      <c r="E141" s="20" t="n">
        <v>0.292</v>
      </c>
      <c r="F141" s="31" t="n">
        <v>10</v>
      </c>
      <c r="G141" s="18" t="n">
        <v>0</v>
      </c>
      <c r="H141" s="18" t="n">
        <v>1</v>
      </c>
      <c r="I141" s="18" t="n">
        <v>0</v>
      </c>
      <c r="J141" s="19" t="n">
        <f aca="false">IF(D141=0,"-",G141/D141*1000)</f>
        <v>0</v>
      </c>
      <c r="K141" s="30" t="s">
        <v>232</v>
      </c>
    </row>
    <row r="142" customFormat="false" ht="15" hidden="false" customHeight="false" outlineLevel="0" collapsed="false">
      <c r="A142" s="17" t="s">
        <v>29</v>
      </c>
      <c r="B142" s="17" t="s">
        <v>239</v>
      </c>
      <c r="C142" s="17" t="s">
        <v>240</v>
      </c>
      <c r="D142" s="18" t="n">
        <v>325</v>
      </c>
      <c r="E142" s="20" t="n">
        <v>0.608</v>
      </c>
      <c r="F142" s="31" t="n">
        <v>11</v>
      </c>
      <c r="G142" s="18" t="n">
        <v>1</v>
      </c>
      <c r="H142" s="18" t="n">
        <v>0</v>
      </c>
      <c r="I142" s="18" t="n">
        <v>0</v>
      </c>
      <c r="J142" s="19" t="n">
        <f aca="false">IF(D142=0,"-",G142/D142*1000)</f>
        <v>3.07692307692308</v>
      </c>
      <c r="K142" s="30" t="s">
        <v>232</v>
      </c>
    </row>
    <row r="143" customFormat="false" ht="15" hidden="false" customHeight="false" outlineLevel="0" collapsed="false">
      <c r="A143" s="17" t="s">
        <v>29</v>
      </c>
      <c r="B143" s="17" t="s">
        <v>86</v>
      </c>
      <c r="C143" s="17" t="s">
        <v>241</v>
      </c>
      <c r="D143" s="18" t="n">
        <v>312</v>
      </c>
      <c r="E143" s="20" t="n">
        <v>0.371</v>
      </c>
      <c r="F143" s="31" t="n">
        <v>10</v>
      </c>
      <c r="G143" s="18" t="n">
        <v>0</v>
      </c>
      <c r="H143" s="18" t="n">
        <v>1</v>
      </c>
      <c r="I143" s="18" t="n">
        <v>0</v>
      </c>
      <c r="J143" s="19" t="n">
        <f aca="false">IF(D143=0,"-",G143/D143*1000)</f>
        <v>0</v>
      </c>
      <c r="K143" s="30" t="s">
        <v>232</v>
      </c>
    </row>
    <row r="144" customFormat="false" ht="15" hidden="false" customHeight="false" outlineLevel="0" collapsed="false">
      <c r="A144" s="30" t="s">
        <v>35</v>
      </c>
      <c r="B144" s="17" t="s">
        <v>93</v>
      </c>
      <c r="C144" s="30" t="s">
        <v>242</v>
      </c>
      <c r="D144" s="18" t="n">
        <v>293</v>
      </c>
      <c r="E144" s="20" t="n">
        <v>5.877</v>
      </c>
      <c r="F144" s="31" t="n">
        <v>117</v>
      </c>
      <c r="G144" s="18" t="n">
        <v>0</v>
      </c>
      <c r="H144" s="18" t="n">
        <v>0</v>
      </c>
      <c r="I144" s="18" t="n">
        <v>0</v>
      </c>
      <c r="J144" s="19" t="n">
        <f aca="false">IF(D144=0,"-",G144/D144*1000)</f>
        <v>0</v>
      </c>
      <c r="K144" s="30" t="s">
        <v>232</v>
      </c>
    </row>
    <row r="145" customFormat="false" ht="15" hidden="false" customHeight="false" outlineLevel="0" collapsed="false">
      <c r="A145" s="30" t="s">
        <v>33</v>
      </c>
      <c r="B145" s="17" t="s">
        <v>74</v>
      </c>
      <c r="C145" s="17" t="s">
        <v>150</v>
      </c>
      <c r="D145" s="18" t="n">
        <v>226</v>
      </c>
      <c r="E145" s="20" t="n">
        <v>0.561</v>
      </c>
      <c r="F145" s="31" t="n">
        <v>13</v>
      </c>
      <c r="G145" s="18" t="n">
        <v>0</v>
      </c>
      <c r="H145" s="18" t="n">
        <v>1</v>
      </c>
      <c r="I145" s="18" t="n">
        <v>0</v>
      </c>
      <c r="J145" s="19" t="n">
        <f aca="false">IF(D145=0,"-",G145/D145*1000)</f>
        <v>0</v>
      </c>
      <c r="K145" s="30" t="s">
        <v>232</v>
      </c>
    </row>
    <row r="146" customFormat="false" ht="15" hidden="false" customHeight="false" outlineLevel="0" collapsed="false">
      <c r="A146" s="30" t="s">
        <v>35</v>
      </c>
      <c r="B146" s="17" t="s">
        <v>110</v>
      </c>
      <c r="C146" s="30" t="s">
        <v>243</v>
      </c>
      <c r="D146" s="18" t="n">
        <v>216</v>
      </c>
      <c r="E146" s="20" t="n">
        <v>0.56</v>
      </c>
      <c r="F146" s="31" t="n">
        <v>13</v>
      </c>
      <c r="G146" s="18" t="n">
        <v>0</v>
      </c>
      <c r="H146" s="18" t="n">
        <v>0</v>
      </c>
      <c r="I146" s="18" t="n">
        <v>0</v>
      </c>
      <c r="J146" s="19" t="n">
        <f aca="false">IF(D146=0,"-",G146/D146*1000)</f>
        <v>0</v>
      </c>
      <c r="K146" s="30" t="s">
        <v>232</v>
      </c>
    </row>
    <row r="147" customFormat="false" ht="15" hidden="false" customHeight="false" outlineLevel="0" collapsed="false">
      <c r="A147" s="30" t="s">
        <v>35</v>
      </c>
      <c r="B147" s="17" t="s">
        <v>184</v>
      </c>
      <c r="C147" s="30" t="s">
        <v>244</v>
      </c>
      <c r="D147" s="18" t="n">
        <v>213</v>
      </c>
      <c r="E147" s="20" t="n">
        <v>0.531</v>
      </c>
      <c r="F147" s="31" t="n">
        <v>10</v>
      </c>
      <c r="G147" s="18" t="n">
        <v>0</v>
      </c>
      <c r="H147" s="18" t="n">
        <v>0</v>
      </c>
      <c r="I147" s="18" t="n">
        <v>0</v>
      </c>
      <c r="J147" s="19" t="n">
        <f aca="false">IF(D147=0,"-",G147/D147*1000)</f>
        <v>0</v>
      </c>
      <c r="K147" s="30" t="s">
        <v>232</v>
      </c>
    </row>
    <row r="148" customFormat="false" ht="15" hidden="false" customHeight="false" outlineLevel="0" collapsed="false">
      <c r="A148" s="30" t="s">
        <v>35</v>
      </c>
      <c r="B148" s="17" t="s">
        <v>86</v>
      </c>
      <c r="C148" s="30" t="s">
        <v>245</v>
      </c>
      <c r="D148" s="18" t="n">
        <v>208</v>
      </c>
      <c r="E148" s="20" t="n">
        <v>0.562</v>
      </c>
      <c r="F148" s="31" t="n">
        <v>11</v>
      </c>
      <c r="G148" s="18" t="n">
        <v>0</v>
      </c>
      <c r="H148" s="18" t="n">
        <v>0</v>
      </c>
      <c r="I148" s="18" t="n">
        <v>0</v>
      </c>
      <c r="J148" s="19" t="n">
        <f aca="false">IF(D148=0,"-",G148/D148*1000)</f>
        <v>0</v>
      </c>
      <c r="K148" s="30" t="s">
        <v>232</v>
      </c>
    </row>
    <row r="149" customFormat="false" ht="15" hidden="false" customHeight="false" outlineLevel="0" collapsed="false">
      <c r="A149" s="30" t="s">
        <v>31</v>
      </c>
      <c r="B149" s="17" t="s">
        <v>74</v>
      </c>
      <c r="C149" s="17" t="s">
        <v>75</v>
      </c>
      <c r="D149" s="18" t="n">
        <v>201</v>
      </c>
      <c r="E149" s="20" t="n">
        <v>0.496</v>
      </c>
      <c r="F149" s="31" t="n">
        <v>11</v>
      </c>
      <c r="G149" s="18" t="n">
        <v>0</v>
      </c>
      <c r="H149" s="18" t="n">
        <v>0</v>
      </c>
      <c r="I149" s="18" t="n">
        <v>0</v>
      </c>
      <c r="J149" s="19" t="n">
        <f aca="false">IF(D149=0,"-",G149/D149*1000)</f>
        <v>0</v>
      </c>
      <c r="K149" s="30" t="s">
        <v>232</v>
      </c>
    </row>
    <row r="150" customFormat="false" ht="15" hidden="false" customHeight="false" outlineLevel="0" collapsed="false">
      <c r="A150" s="30" t="s">
        <v>35</v>
      </c>
      <c r="B150" s="17" t="s">
        <v>112</v>
      </c>
      <c r="C150" s="30" t="s">
        <v>246</v>
      </c>
      <c r="D150" s="18" t="n">
        <v>191</v>
      </c>
      <c r="E150" s="20" t="n">
        <v>0.695</v>
      </c>
      <c r="F150" s="31" t="n">
        <v>21</v>
      </c>
      <c r="G150" s="18" t="n">
        <v>0</v>
      </c>
      <c r="H150" s="18" t="n">
        <v>0</v>
      </c>
      <c r="I150" s="18" t="n">
        <v>0</v>
      </c>
      <c r="J150" s="19" t="n">
        <f aca="false">IF(D150=0,"-",G150/D150*1000)</f>
        <v>0</v>
      </c>
      <c r="K150" s="30" t="s">
        <v>232</v>
      </c>
    </row>
    <row r="151" customFormat="false" ht="15" hidden="false" customHeight="false" outlineLevel="0" collapsed="false">
      <c r="A151" s="17" t="s">
        <v>29</v>
      </c>
      <c r="B151" s="17" t="s">
        <v>88</v>
      </c>
      <c r="C151" s="30" t="s">
        <v>247</v>
      </c>
      <c r="D151" s="18" t="n">
        <v>74</v>
      </c>
      <c r="E151" s="20" t="n">
        <v>0.557</v>
      </c>
      <c r="F151" s="31" t="n">
        <v>20</v>
      </c>
      <c r="G151" s="18" t="n">
        <v>0</v>
      </c>
      <c r="H151" s="18" t="n">
        <v>0</v>
      </c>
      <c r="I151" s="18" t="n">
        <v>0</v>
      </c>
      <c r="J151" s="19" t="n">
        <f aca="false">IF(D151=0,"-",G151/D151*1000)</f>
        <v>0</v>
      </c>
      <c r="K151" s="30" t="s">
        <v>232</v>
      </c>
    </row>
    <row r="152" customFormat="false" ht="15" hidden="false" customHeight="false" outlineLevel="0" collapsed="false">
      <c r="A152" s="30" t="s">
        <v>31</v>
      </c>
      <c r="B152" s="17" t="s">
        <v>86</v>
      </c>
      <c r="C152" s="17" t="s">
        <v>248</v>
      </c>
      <c r="D152" s="18" t="n">
        <v>48</v>
      </c>
      <c r="E152" s="20" t="n">
        <v>0.697</v>
      </c>
      <c r="F152" s="31" t="n">
        <v>12</v>
      </c>
      <c r="G152" s="18" t="n">
        <v>0</v>
      </c>
      <c r="H152" s="18" t="n">
        <v>0</v>
      </c>
      <c r="I152" s="18" t="n">
        <v>0</v>
      </c>
      <c r="J152" s="19" t="n">
        <f aca="false">IF(D152=0,"-",G152/D152*1000)</f>
        <v>0</v>
      </c>
      <c r="K152" s="30" t="s">
        <v>232</v>
      </c>
    </row>
    <row r="153" customFormat="false" ht="15" hidden="false" customHeight="false" outlineLevel="0" collapsed="false">
      <c r="A153" s="17" t="s">
        <v>29</v>
      </c>
      <c r="B153" s="17" t="s">
        <v>157</v>
      </c>
      <c r="C153" s="30" t="s">
        <v>249</v>
      </c>
      <c r="D153" s="18" t="n">
        <v>36</v>
      </c>
      <c r="E153" s="20" t="n">
        <v>0.121</v>
      </c>
      <c r="F153" s="31" t="n">
        <v>103</v>
      </c>
      <c r="G153" s="18" t="n">
        <v>0</v>
      </c>
      <c r="H153" s="18" t="n">
        <v>2</v>
      </c>
      <c r="I153" s="18" t="n">
        <v>0</v>
      </c>
      <c r="J153" s="19" t="n">
        <f aca="false">IF(D153=0,"-",G153/D153*1000)</f>
        <v>0</v>
      </c>
      <c r="K153" s="30" t="s">
        <v>232</v>
      </c>
    </row>
    <row r="154" customFormat="false" ht="15" hidden="false" customHeight="false" outlineLevel="0" collapsed="false">
      <c r="A154" s="30" t="s">
        <v>33</v>
      </c>
      <c r="B154" s="17" t="s">
        <v>86</v>
      </c>
      <c r="C154" s="17" t="s">
        <v>250</v>
      </c>
      <c r="D154" s="18" t="n">
        <v>8</v>
      </c>
      <c r="E154" s="20" t="n">
        <v>0.721</v>
      </c>
      <c r="F154" s="31" t="n">
        <v>19</v>
      </c>
      <c r="G154" s="18" t="n">
        <v>0</v>
      </c>
      <c r="H154" s="18" t="n">
        <v>0</v>
      </c>
      <c r="I154" s="18" t="n">
        <v>0</v>
      </c>
      <c r="J154" s="19" t="n">
        <f aca="false">IF(D154=0,"-",G154/D154*1000)</f>
        <v>0</v>
      </c>
      <c r="K154" s="30" t="s">
        <v>232</v>
      </c>
    </row>
    <row r="155" customFormat="false" ht="15" hidden="false" customHeight="false" outlineLevel="0" collapsed="false">
      <c r="A155" s="17" t="s">
        <v>37</v>
      </c>
      <c r="B155" s="17" t="s">
        <v>77</v>
      </c>
      <c r="C155" s="30" t="s">
        <v>251</v>
      </c>
      <c r="D155" s="18" t="n">
        <v>1</v>
      </c>
      <c r="E155" s="20" t="n">
        <v>0</v>
      </c>
      <c r="F155" s="31" t="n">
        <v>0</v>
      </c>
      <c r="G155" s="18" t="n">
        <v>0</v>
      </c>
      <c r="H155" s="18" t="n">
        <v>0</v>
      </c>
      <c r="I155" s="18" t="n">
        <v>0</v>
      </c>
      <c r="J155" s="19" t="n">
        <f aca="false">IF(D155=0,"-",G155/D155*1000)</f>
        <v>0</v>
      </c>
      <c r="K155" s="30" t="s">
        <v>232</v>
      </c>
    </row>
    <row r="156" customFormat="false" ht="15" hidden="false" customHeight="false" outlineLevel="0" collapsed="false">
      <c r="A156" s="17" t="s">
        <v>37</v>
      </c>
      <c r="B156" s="17" t="s">
        <v>77</v>
      </c>
      <c r="C156" s="30" t="s">
        <v>252</v>
      </c>
      <c r="D156" s="18" t="n">
        <v>1</v>
      </c>
      <c r="E156" s="20" t="n">
        <v>0.808</v>
      </c>
      <c r="F156" s="31" t="n">
        <v>20</v>
      </c>
      <c r="G156" s="18" t="n">
        <v>0</v>
      </c>
      <c r="H156" s="18" t="n">
        <v>0</v>
      </c>
      <c r="I156" s="18" t="n">
        <v>0</v>
      </c>
      <c r="J156" s="19" t="n">
        <f aca="false">IF(D156=0,"-",G156/D156*1000)</f>
        <v>0</v>
      </c>
      <c r="K156" s="30" t="s">
        <v>232</v>
      </c>
    </row>
    <row r="157" customFormat="false" ht="15" hidden="false" customHeight="false" outlineLevel="0" collapsed="false">
      <c r="A157" s="8" t="s">
        <v>37</v>
      </c>
      <c r="B157" s="8" t="s">
        <v>253</v>
      </c>
      <c r="C157" s="7" t="s">
        <v>254</v>
      </c>
      <c r="D157" s="6" t="n">
        <v>0</v>
      </c>
      <c r="E157" s="16" t="n">
        <v>0</v>
      </c>
      <c r="F157" s="26" t="n">
        <v>0</v>
      </c>
      <c r="G157" s="6" t="n">
        <v>0</v>
      </c>
      <c r="H157" s="6" t="n">
        <v>0</v>
      </c>
      <c r="I157" s="6" t="n">
        <v>0</v>
      </c>
      <c r="J157" s="15" t="str">
        <f aca="false">IF(D157=0,"-",G157/D157*1000)</f>
        <v>-</v>
      </c>
      <c r="K157" s="7" t="s">
        <v>255</v>
      </c>
    </row>
    <row r="158" customFormat="false" ht="15" hidden="false" customHeight="false" outlineLevel="0" collapsed="false">
      <c r="A158" s="8" t="s">
        <v>37</v>
      </c>
      <c r="B158" s="8" t="s">
        <v>256</v>
      </c>
      <c r="C158" s="7" t="s">
        <v>257</v>
      </c>
      <c r="D158" s="6" t="n">
        <v>0</v>
      </c>
      <c r="E158" s="16" t="n">
        <v>0</v>
      </c>
      <c r="F158" s="26" t="n">
        <v>0</v>
      </c>
      <c r="G158" s="6" t="n">
        <v>0</v>
      </c>
      <c r="H158" s="6" t="n">
        <v>0</v>
      </c>
      <c r="I158" s="6" t="n">
        <v>0</v>
      </c>
      <c r="J158" s="15" t="str">
        <f aca="false">IF(D158=0,"-",G158/D158*1000)</f>
        <v>-</v>
      </c>
      <c r="K158" s="7" t="s">
        <v>255</v>
      </c>
    </row>
    <row r="159" customFormat="false" ht="15" hidden="false" customHeight="false" outlineLevel="0" collapsed="false">
      <c r="A159" s="8" t="s">
        <v>37</v>
      </c>
      <c r="B159" s="8" t="s">
        <v>253</v>
      </c>
      <c r="C159" s="8" t="s">
        <v>258</v>
      </c>
      <c r="D159" s="6" t="n">
        <v>0</v>
      </c>
      <c r="E159" s="16" t="n">
        <v>0</v>
      </c>
      <c r="F159" s="26" t="n">
        <v>0</v>
      </c>
      <c r="G159" s="6" t="n">
        <v>0</v>
      </c>
      <c r="H159" s="6" t="n">
        <v>0</v>
      </c>
      <c r="I159" s="6" t="n">
        <v>0</v>
      </c>
      <c r="J159" s="15" t="str">
        <f aca="false">IF(D159=0,"-",G159/D159*1000)</f>
        <v>-</v>
      </c>
      <c r="K159" s="7" t="s">
        <v>255</v>
      </c>
    </row>
    <row r="160" customFormat="false" ht="15" hidden="false" customHeight="false" outlineLevel="0" collapsed="false">
      <c r="A160" s="8" t="s">
        <v>37</v>
      </c>
      <c r="B160" s="8" t="s">
        <v>253</v>
      </c>
      <c r="C160" s="7" t="s">
        <v>259</v>
      </c>
      <c r="D160" s="6" t="n">
        <v>0</v>
      </c>
      <c r="E160" s="16" t="n">
        <v>0</v>
      </c>
      <c r="F160" s="26" t="n">
        <v>0</v>
      </c>
      <c r="G160" s="6" t="n">
        <v>0</v>
      </c>
      <c r="H160" s="6" t="n">
        <v>0</v>
      </c>
      <c r="I160" s="6" t="n">
        <v>0</v>
      </c>
      <c r="J160" s="15" t="str">
        <f aca="false">IF(D160=0,"-",G160/D160*1000)</f>
        <v>-</v>
      </c>
      <c r="K160" s="7" t="s">
        <v>255</v>
      </c>
    </row>
    <row r="161" customFormat="false" ht="15" hidden="false" customHeight="false" outlineLevel="0" collapsed="false">
      <c r="A161" s="8" t="s">
        <v>37</v>
      </c>
      <c r="B161" s="8" t="s">
        <v>260</v>
      </c>
      <c r="C161" s="8" t="s">
        <v>261</v>
      </c>
      <c r="D161" s="6" t="n">
        <v>0</v>
      </c>
      <c r="E161" s="16" t="n">
        <v>0</v>
      </c>
      <c r="F161" s="26" t="n">
        <v>0</v>
      </c>
      <c r="G161" s="6" t="n">
        <v>0</v>
      </c>
      <c r="H161" s="6" t="n">
        <v>0</v>
      </c>
      <c r="I161" s="6" t="n">
        <v>0</v>
      </c>
      <c r="J161" s="15" t="str">
        <f aca="false">IF(D161=0,"-",G161/D161*1000)</f>
        <v>-</v>
      </c>
      <c r="K161" s="7" t="s">
        <v>255</v>
      </c>
    </row>
    <row r="162" customFormat="false" ht="15" hidden="false" customHeight="false" outlineLevel="0" collapsed="false">
      <c r="A162" s="8" t="s">
        <v>37</v>
      </c>
      <c r="B162" s="8" t="s">
        <v>256</v>
      </c>
      <c r="C162" s="7" t="s">
        <v>262</v>
      </c>
      <c r="D162" s="6" t="n">
        <v>0</v>
      </c>
      <c r="E162" s="16" t="n">
        <v>0</v>
      </c>
      <c r="F162" s="26" t="n">
        <v>0</v>
      </c>
      <c r="G162" s="6" t="n">
        <v>0</v>
      </c>
      <c r="H162" s="6" t="n">
        <v>0</v>
      </c>
      <c r="I162" s="6" t="n">
        <v>0</v>
      </c>
      <c r="J162" s="15" t="str">
        <f aca="false">IF(D162=0,"-",G162/D162*1000)</f>
        <v>-</v>
      </c>
      <c r="K162" s="7" t="s">
        <v>255</v>
      </c>
    </row>
    <row r="163" customFormat="false" ht="15" hidden="false" customHeight="false" outlineLevel="0" collapsed="false">
      <c r="A163" s="8" t="s">
        <v>37</v>
      </c>
      <c r="B163" s="8" t="s">
        <v>260</v>
      </c>
      <c r="C163" s="7" t="s">
        <v>263</v>
      </c>
      <c r="D163" s="6" t="n">
        <v>0</v>
      </c>
      <c r="E163" s="16" t="n">
        <v>0</v>
      </c>
      <c r="F163" s="26" t="n">
        <v>0</v>
      </c>
      <c r="G163" s="6" t="n">
        <v>0</v>
      </c>
      <c r="H163" s="6" t="n">
        <v>0</v>
      </c>
      <c r="I163" s="6" t="n">
        <v>0</v>
      </c>
      <c r="J163" s="15" t="str">
        <f aca="false">IF(D163=0,"-",G163/D163*1000)</f>
        <v>-</v>
      </c>
      <c r="K163" s="7" t="s">
        <v>255</v>
      </c>
    </row>
    <row r="164" customFormat="false" ht="15" hidden="false" customHeight="false" outlineLevel="0" collapsed="false">
      <c r="A164" s="7" t="s">
        <v>35</v>
      </c>
      <c r="B164" s="8" t="s">
        <v>253</v>
      </c>
      <c r="C164" s="8" t="s">
        <v>264</v>
      </c>
      <c r="D164" s="6" t="n">
        <v>0</v>
      </c>
      <c r="E164" s="16" t="n">
        <v>0</v>
      </c>
      <c r="F164" s="26" t="n">
        <v>0</v>
      </c>
      <c r="G164" s="6" t="n">
        <v>0</v>
      </c>
      <c r="H164" s="6" t="n">
        <v>0</v>
      </c>
      <c r="I164" s="6" t="n">
        <v>0</v>
      </c>
      <c r="J164" s="15" t="str">
        <f aca="false">IF(D164=0,"-",G164/D164*1000)</f>
        <v>-</v>
      </c>
      <c r="K164" s="7" t="s">
        <v>255</v>
      </c>
    </row>
    <row r="165" customFormat="false" ht="15" hidden="false" customHeight="false" outlineLevel="0" collapsed="false">
      <c r="A165" s="7" t="s">
        <v>35</v>
      </c>
      <c r="B165" s="8" t="s">
        <v>256</v>
      </c>
      <c r="C165" s="8" t="s">
        <v>265</v>
      </c>
      <c r="D165" s="6" t="n">
        <v>0</v>
      </c>
      <c r="E165" s="16" t="n">
        <v>0</v>
      </c>
      <c r="F165" s="26" t="n">
        <v>0</v>
      </c>
      <c r="G165" s="6" t="n">
        <v>0</v>
      </c>
      <c r="H165" s="6" t="n">
        <v>0</v>
      </c>
      <c r="I165" s="6" t="n">
        <v>0</v>
      </c>
      <c r="J165" s="15" t="str">
        <f aca="false">IF(D165=0,"-",G165/D165*1000)</f>
        <v>-</v>
      </c>
      <c r="K165" s="7" t="s">
        <v>255</v>
      </c>
    </row>
    <row r="166" customFormat="false" ht="15" hidden="false" customHeight="false" outlineLevel="0" collapsed="false">
      <c r="A166" s="7" t="s">
        <v>35</v>
      </c>
      <c r="B166" s="8" t="s">
        <v>260</v>
      </c>
      <c r="C166" s="7" t="s">
        <v>266</v>
      </c>
      <c r="D166" s="6" t="n">
        <v>0</v>
      </c>
      <c r="E166" s="16" t="n">
        <v>0</v>
      </c>
      <c r="F166" s="26" t="n">
        <v>0</v>
      </c>
      <c r="G166" s="6" t="n">
        <v>0</v>
      </c>
      <c r="H166" s="6" t="n">
        <v>0</v>
      </c>
      <c r="I166" s="6" t="n">
        <v>0</v>
      </c>
      <c r="J166" s="15" t="str">
        <f aca="false">IF(D166=0,"-",G166/D166*1000)</f>
        <v>-</v>
      </c>
      <c r="K166" s="7" t="s">
        <v>255</v>
      </c>
    </row>
    <row r="167" customFormat="false" ht="15" hidden="false" customHeight="false" outlineLevel="0" collapsed="false">
      <c r="A167" s="7" t="s">
        <v>35</v>
      </c>
      <c r="B167" s="8" t="s">
        <v>253</v>
      </c>
      <c r="C167" s="8" t="s">
        <v>267</v>
      </c>
      <c r="D167" s="6" t="n">
        <v>0</v>
      </c>
      <c r="E167" s="16" t="n">
        <v>0</v>
      </c>
      <c r="F167" s="26" t="n">
        <v>0</v>
      </c>
      <c r="G167" s="6" t="n">
        <v>0</v>
      </c>
      <c r="H167" s="6" t="n">
        <v>0</v>
      </c>
      <c r="I167" s="6" t="n">
        <v>0</v>
      </c>
      <c r="J167" s="15" t="str">
        <f aca="false">IF(D167=0,"-",G167/D167*1000)</f>
        <v>-</v>
      </c>
      <c r="K167" s="7" t="s">
        <v>255</v>
      </c>
    </row>
    <row r="168" customFormat="false" ht="15" hidden="false" customHeight="false" outlineLevel="0" collapsed="false">
      <c r="A168" s="7" t="s">
        <v>31</v>
      </c>
      <c r="B168" s="8" t="s">
        <v>260</v>
      </c>
      <c r="C168" s="7" t="s">
        <v>268</v>
      </c>
      <c r="D168" s="6" t="n">
        <v>0</v>
      </c>
      <c r="E168" s="16" t="n">
        <v>0</v>
      </c>
      <c r="F168" s="26" t="n">
        <v>0</v>
      </c>
      <c r="G168" s="6" t="n">
        <v>0</v>
      </c>
      <c r="H168" s="6" t="n">
        <v>0</v>
      </c>
      <c r="I168" s="6" t="n">
        <v>0</v>
      </c>
      <c r="J168" s="15" t="str">
        <f aca="false">IF(D168=0,"-",G168/D168*1000)</f>
        <v>-</v>
      </c>
      <c r="K168" s="7" t="s">
        <v>255</v>
      </c>
    </row>
    <row r="169" customFormat="false" ht="15" hidden="false" customHeight="false" outlineLevel="0" collapsed="false">
      <c r="A169" s="7" t="s">
        <v>31</v>
      </c>
      <c r="B169" s="8" t="s">
        <v>256</v>
      </c>
      <c r="C169" s="8" t="s">
        <v>269</v>
      </c>
      <c r="D169" s="6" t="n">
        <v>0</v>
      </c>
      <c r="E169" s="16" t="n">
        <v>0</v>
      </c>
      <c r="F169" s="26" t="n">
        <v>0</v>
      </c>
      <c r="G169" s="6" t="n">
        <v>0</v>
      </c>
      <c r="H169" s="6" t="n">
        <v>0</v>
      </c>
      <c r="I169" s="6" t="n">
        <v>0</v>
      </c>
      <c r="J169" s="15" t="str">
        <f aca="false">IF(D169=0,"-",G169/D169*1000)</f>
        <v>-</v>
      </c>
      <c r="K169" s="7" t="s">
        <v>255</v>
      </c>
    </row>
    <row r="170" customFormat="false" ht="15" hidden="false" customHeight="false" outlineLevel="0" collapsed="false">
      <c r="A170" s="7" t="s">
        <v>31</v>
      </c>
      <c r="B170" s="8" t="s">
        <v>253</v>
      </c>
      <c r="C170" s="8" t="s">
        <v>270</v>
      </c>
      <c r="D170" s="6" t="n">
        <v>0</v>
      </c>
      <c r="E170" s="16" t="n">
        <v>0</v>
      </c>
      <c r="F170" s="26" t="n">
        <v>0</v>
      </c>
      <c r="G170" s="6" t="n">
        <v>0</v>
      </c>
      <c r="H170" s="6" t="n">
        <v>0</v>
      </c>
      <c r="I170" s="6" t="n">
        <v>0</v>
      </c>
      <c r="J170" s="15" t="str">
        <f aca="false">IF(D170=0,"-",G170/D170*1000)</f>
        <v>-</v>
      </c>
      <c r="K170" s="7" t="s">
        <v>255</v>
      </c>
    </row>
    <row r="171" customFormat="false" ht="15" hidden="false" customHeight="false" outlineLevel="0" collapsed="false">
      <c r="A171" s="7" t="s">
        <v>31</v>
      </c>
      <c r="B171" s="8" t="s">
        <v>253</v>
      </c>
      <c r="C171" s="8" t="s">
        <v>271</v>
      </c>
      <c r="D171" s="6" t="n">
        <v>0</v>
      </c>
      <c r="E171" s="16" t="n">
        <v>0</v>
      </c>
      <c r="F171" s="26" t="n">
        <v>0</v>
      </c>
      <c r="G171" s="6" t="n">
        <v>0</v>
      </c>
      <c r="H171" s="6" t="n">
        <v>0</v>
      </c>
      <c r="I171" s="6" t="n">
        <v>0</v>
      </c>
      <c r="J171" s="15" t="str">
        <f aca="false">IF(D171=0,"-",G171/D171*1000)</f>
        <v>-</v>
      </c>
      <c r="K171" s="7" t="s">
        <v>255</v>
      </c>
    </row>
    <row r="172" customFormat="false" ht="15" hidden="false" customHeight="false" outlineLevel="0" collapsed="false">
      <c r="A172" s="8" t="s">
        <v>29</v>
      </c>
      <c r="B172" s="8" t="s">
        <v>256</v>
      </c>
      <c r="C172" s="7" t="s">
        <v>272</v>
      </c>
      <c r="D172" s="6" t="n">
        <v>0</v>
      </c>
      <c r="E172" s="16" t="n">
        <v>0</v>
      </c>
      <c r="F172" s="26" t="n">
        <v>0</v>
      </c>
      <c r="G172" s="6" t="n">
        <v>0</v>
      </c>
      <c r="H172" s="6" t="n">
        <v>0</v>
      </c>
      <c r="I172" s="6" t="n">
        <v>0</v>
      </c>
      <c r="J172" s="15" t="str">
        <f aca="false">IF(D172=0,"-",G172/D172*1000)</f>
        <v>-</v>
      </c>
      <c r="K172" s="7" t="s">
        <v>255</v>
      </c>
    </row>
    <row r="173" customFormat="false" ht="15" hidden="false" customHeight="false" outlineLevel="0" collapsed="false">
      <c r="A173" s="8" t="s">
        <v>29</v>
      </c>
      <c r="B173" s="8" t="s">
        <v>253</v>
      </c>
      <c r="C173" s="7" t="s">
        <v>273</v>
      </c>
      <c r="D173" s="6" t="n">
        <v>0</v>
      </c>
      <c r="E173" s="16" t="n">
        <v>0</v>
      </c>
      <c r="F173" s="26" t="n">
        <v>0</v>
      </c>
      <c r="G173" s="6" t="n">
        <v>0</v>
      </c>
      <c r="H173" s="6" t="n">
        <v>0</v>
      </c>
      <c r="I173" s="6" t="n">
        <v>0</v>
      </c>
      <c r="J173" s="15" t="str">
        <f aca="false">IF(D173=0,"-",G173/D173*1000)</f>
        <v>-</v>
      </c>
      <c r="K173" s="7" t="s">
        <v>255</v>
      </c>
    </row>
    <row r="174" customFormat="false" ht="15" hidden="false" customHeight="false" outlineLevel="0" collapsed="false">
      <c r="A174" s="8" t="s">
        <v>29</v>
      </c>
      <c r="B174" s="8" t="s">
        <v>260</v>
      </c>
      <c r="C174" s="7" t="s">
        <v>274</v>
      </c>
      <c r="D174" s="6" t="n">
        <v>0</v>
      </c>
      <c r="E174" s="16" t="n">
        <v>0</v>
      </c>
      <c r="F174" s="26" t="n">
        <v>0</v>
      </c>
      <c r="G174" s="6" t="n">
        <v>0</v>
      </c>
      <c r="H174" s="6" t="n">
        <v>0</v>
      </c>
      <c r="I174" s="6" t="n">
        <v>0</v>
      </c>
      <c r="J174" s="15" t="str">
        <f aca="false">IF(D174=0,"-",G174/D174*1000)</f>
        <v>-</v>
      </c>
      <c r="K174" s="7" t="s">
        <v>255</v>
      </c>
    </row>
    <row r="175" customFormat="false" ht="15" hidden="false" customHeight="false" outlineLevel="0" collapsed="false">
      <c r="A175" s="8" t="s">
        <v>29</v>
      </c>
      <c r="B175" s="8" t="s">
        <v>253</v>
      </c>
      <c r="C175" s="7" t="s">
        <v>275</v>
      </c>
      <c r="D175" s="6" t="n">
        <v>0</v>
      </c>
      <c r="E175" s="16" t="n">
        <v>0</v>
      </c>
      <c r="F175" s="26" t="n">
        <v>0</v>
      </c>
      <c r="G175" s="6" t="n">
        <v>0</v>
      </c>
      <c r="H175" s="6" t="n">
        <v>0</v>
      </c>
      <c r="I175" s="6" t="n">
        <v>0</v>
      </c>
      <c r="J175" s="15" t="str">
        <f aca="false">IF(D175=0,"-",G175/D175*1000)</f>
        <v>-</v>
      </c>
      <c r="K175" s="7" t="s">
        <v>255</v>
      </c>
    </row>
    <row r="176" customFormat="false" ht="15" hidden="false" customHeight="false" outlineLevel="0" collapsed="false">
      <c r="A176" s="7" t="s">
        <v>33</v>
      </c>
      <c r="B176" s="8" t="s">
        <v>260</v>
      </c>
      <c r="C176" s="7" t="s">
        <v>276</v>
      </c>
      <c r="D176" s="6" t="n">
        <v>0</v>
      </c>
      <c r="E176" s="16" t="n">
        <v>0</v>
      </c>
      <c r="F176" s="26" t="n">
        <v>0</v>
      </c>
      <c r="G176" s="6" t="n">
        <v>0</v>
      </c>
      <c r="H176" s="6" t="n">
        <v>0</v>
      </c>
      <c r="I176" s="6" t="n">
        <v>0</v>
      </c>
      <c r="J176" s="15" t="str">
        <f aca="false">IF(D176=0,"-",G176/D176*1000)</f>
        <v>-</v>
      </c>
      <c r="K176" s="7" t="s">
        <v>255</v>
      </c>
    </row>
    <row r="177" customFormat="false" ht="15" hidden="false" customHeight="false" outlineLevel="0" collapsed="false">
      <c r="A177" s="7" t="s">
        <v>33</v>
      </c>
      <c r="B177" s="8" t="s">
        <v>253</v>
      </c>
      <c r="C177" s="8" t="s">
        <v>277</v>
      </c>
      <c r="D177" s="6" t="n">
        <v>0</v>
      </c>
      <c r="E177" s="16" t="n">
        <v>0</v>
      </c>
      <c r="F177" s="26" t="n">
        <v>0</v>
      </c>
      <c r="G177" s="6" t="n">
        <v>0</v>
      </c>
      <c r="H177" s="6" t="n">
        <v>0</v>
      </c>
      <c r="I177" s="6" t="n">
        <v>0</v>
      </c>
      <c r="J177" s="15" t="str">
        <f aca="false">IF(D177=0,"-",G177/D177*1000)</f>
        <v>-</v>
      </c>
      <c r="K177" s="7" t="s">
        <v>255</v>
      </c>
    </row>
    <row r="178" customFormat="false" ht="15" hidden="false" customHeight="false" outlineLevel="0" collapsed="false">
      <c r="A178" s="7" t="s">
        <v>33</v>
      </c>
      <c r="B178" s="8" t="s">
        <v>256</v>
      </c>
      <c r="C178" s="8" t="s">
        <v>278</v>
      </c>
      <c r="D178" s="6" t="n">
        <v>0</v>
      </c>
      <c r="E178" s="16" t="n">
        <v>0</v>
      </c>
      <c r="F178" s="26" t="n">
        <v>0</v>
      </c>
      <c r="G178" s="6" t="n">
        <v>0</v>
      </c>
      <c r="H178" s="6" t="n">
        <v>0</v>
      </c>
      <c r="I178" s="6" t="n">
        <v>0</v>
      </c>
      <c r="J178" s="15" t="str">
        <f aca="false">IF(D178=0,"-",G178/D178*1000)</f>
        <v>-</v>
      </c>
      <c r="K178" s="7" t="s">
        <v>255</v>
      </c>
    </row>
    <row r="179" customFormat="false" ht="15" hidden="false" customHeight="false" outlineLevel="0" collapsed="false">
      <c r="A179" s="7" t="s">
        <v>33</v>
      </c>
      <c r="B179" s="8" t="s">
        <v>253</v>
      </c>
      <c r="C179" s="7" t="s">
        <v>279</v>
      </c>
      <c r="D179" s="6" t="n">
        <v>0</v>
      </c>
      <c r="E179" s="16" t="n">
        <v>0</v>
      </c>
      <c r="F179" s="26" t="n">
        <v>0</v>
      </c>
      <c r="G179" s="6" t="n">
        <v>0</v>
      </c>
      <c r="H179" s="6" t="n">
        <v>0</v>
      </c>
      <c r="I179" s="6" t="n">
        <v>0</v>
      </c>
      <c r="J179" s="15" t="str">
        <f aca="false">IF(D179=0,"-",G179/D179*1000)</f>
        <v>-</v>
      </c>
      <c r="K179" s="7" t="s">
        <v>255</v>
      </c>
    </row>
  </sheetData>
  <autoFilter ref="A4:K17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15"/>
    <col collapsed="false" customWidth="true" hidden="false" outlineLevel="0" max="4" min="4" style="0" width="34"/>
    <col collapsed="false" customWidth="true" hidden="false" outlineLevel="0" max="5" min="5" style="0" width="52"/>
    <col collapsed="false" customWidth="true" hidden="false" outlineLevel="0" max="7" min="6" style="0" width="26"/>
    <col collapsed="false" customWidth="true" hidden="false" outlineLevel="0" max="8" min="8" style="0" width="22"/>
  </cols>
  <sheetData>
    <row r="1" customFormat="false" ht="21.6" hidden="false" customHeight="false" outlineLevel="0" collapsed="false">
      <c r="A1" s="24" t="s">
        <v>280</v>
      </c>
    </row>
    <row r="2" customFormat="false" ht="15" hidden="false" customHeight="false" outlineLevel="0" collapsed="false">
      <c r="A2" s="2" t="s">
        <v>281</v>
      </c>
    </row>
    <row r="4" customFormat="false" ht="15" hidden="false" customHeight="false" outlineLevel="0" collapsed="false">
      <c r="A4" s="9" t="s">
        <v>282</v>
      </c>
      <c r="B4" s="4" t="s">
        <v>283</v>
      </c>
      <c r="C4" s="4" t="s">
        <v>284</v>
      </c>
      <c r="D4" s="4" t="s">
        <v>285</v>
      </c>
      <c r="E4" s="4" t="s">
        <v>286</v>
      </c>
      <c r="F4" s="4" t="s">
        <v>287</v>
      </c>
      <c r="G4" s="4" t="s">
        <v>288</v>
      </c>
      <c r="H4" s="4" t="s">
        <v>289</v>
      </c>
    </row>
    <row r="5" customFormat="false" ht="43.5" hidden="false" customHeight="true" outlineLevel="0" collapsed="false">
      <c r="A5" s="10" t="n">
        <v>1</v>
      </c>
      <c r="B5" s="14" t="s">
        <v>290</v>
      </c>
      <c r="C5" s="10" t="s">
        <v>30</v>
      </c>
      <c r="D5" s="32" t="s">
        <v>291</v>
      </c>
      <c r="E5" s="33" t="s">
        <v>292</v>
      </c>
      <c r="F5" s="32" t="s">
        <v>293</v>
      </c>
      <c r="G5" s="32" t="s">
        <v>294</v>
      </c>
      <c r="H5" s="32" t="s">
        <v>295</v>
      </c>
    </row>
    <row r="6" customFormat="false" ht="43.5" hidden="false" customHeight="true" outlineLevel="0" collapsed="false">
      <c r="A6" s="10" t="n">
        <v>2</v>
      </c>
      <c r="B6" s="14" t="s">
        <v>290</v>
      </c>
      <c r="C6" s="10" t="s">
        <v>38</v>
      </c>
      <c r="D6" s="32" t="s">
        <v>296</v>
      </c>
      <c r="E6" s="33" t="s">
        <v>297</v>
      </c>
      <c r="F6" s="32" t="s">
        <v>298</v>
      </c>
      <c r="G6" s="32" t="s">
        <v>299</v>
      </c>
      <c r="H6" s="32" t="s">
        <v>300</v>
      </c>
    </row>
    <row r="7" customFormat="false" ht="43.5" hidden="false" customHeight="true" outlineLevel="0" collapsed="false">
      <c r="A7" s="10" t="n">
        <v>3</v>
      </c>
      <c r="B7" s="14" t="s">
        <v>290</v>
      </c>
      <c r="C7" s="10" t="s">
        <v>34</v>
      </c>
      <c r="D7" s="32" t="s">
        <v>301</v>
      </c>
      <c r="E7" s="33" t="s">
        <v>302</v>
      </c>
      <c r="F7" s="33" t="s">
        <v>303</v>
      </c>
      <c r="G7" s="33" t="s">
        <v>304</v>
      </c>
      <c r="H7" s="32" t="s">
        <v>305</v>
      </c>
    </row>
    <row r="8" customFormat="false" ht="43.5" hidden="false" customHeight="true" outlineLevel="0" collapsed="false">
      <c r="A8" s="10" t="n">
        <v>4</v>
      </c>
      <c r="B8" s="14" t="s">
        <v>290</v>
      </c>
      <c r="C8" s="10" t="s">
        <v>32</v>
      </c>
      <c r="D8" s="32" t="s">
        <v>306</v>
      </c>
      <c r="E8" s="33" t="s">
        <v>307</v>
      </c>
      <c r="F8" s="33" t="s">
        <v>308</v>
      </c>
      <c r="G8" s="33" t="s">
        <v>309</v>
      </c>
      <c r="H8" s="32" t="s">
        <v>310</v>
      </c>
    </row>
    <row r="9" customFormat="false" ht="43.5" hidden="false" customHeight="true" outlineLevel="0" collapsed="false">
      <c r="A9" s="10" t="n">
        <v>5</v>
      </c>
      <c r="B9" s="14" t="s">
        <v>290</v>
      </c>
      <c r="C9" s="10" t="s">
        <v>36</v>
      </c>
      <c r="D9" s="32" t="s">
        <v>311</v>
      </c>
      <c r="E9" s="33" t="s">
        <v>312</v>
      </c>
      <c r="F9" s="33" t="s">
        <v>309</v>
      </c>
      <c r="G9" s="33" t="s">
        <v>313</v>
      </c>
      <c r="H9" s="32" t="s">
        <v>314</v>
      </c>
    </row>
    <row r="10" customFormat="false" ht="43.5" hidden="false" customHeight="true" outlineLevel="0" collapsed="false">
      <c r="A10" s="10" t="n">
        <v>6</v>
      </c>
      <c r="B10" s="14" t="s">
        <v>290</v>
      </c>
      <c r="C10" s="10" t="s">
        <v>38</v>
      </c>
      <c r="D10" s="32" t="s">
        <v>315</v>
      </c>
      <c r="E10" s="33" t="s">
        <v>316</v>
      </c>
      <c r="F10" s="33" t="s">
        <v>317</v>
      </c>
      <c r="G10" s="33" t="s">
        <v>309</v>
      </c>
      <c r="H10" s="32" t="s">
        <v>318</v>
      </c>
    </row>
    <row r="11" customFormat="false" ht="43.5" hidden="false" customHeight="true" outlineLevel="0" collapsed="false">
      <c r="A11" s="10" t="n">
        <v>7</v>
      </c>
      <c r="B11" s="14" t="s">
        <v>290</v>
      </c>
      <c r="C11" s="10" t="s">
        <v>30</v>
      </c>
      <c r="D11" s="32" t="s">
        <v>319</v>
      </c>
      <c r="E11" s="33" t="s">
        <v>320</v>
      </c>
      <c r="F11" s="33" t="s">
        <v>304</v>
      </c>
      <c r="G11" s="33" t="s">
        <v>321</v>
      </c>
      <c r="H11" s="32" t="s">
        <v>322</v>
      </c>
    </row>
    <row r="12" customFormat="false" ht="43.5" hidden="false" customHeight="true" outlineLevel="0" collapsed="false">
      <c r="A12" s="10" t="n">
        <v>8</v>
      </c>
      <c r="B12" s="14" t="s">
        <v>290</v>
      </c>
      <c r="C12" s="10" t="s">
        <v>30</v>
      </c>
      <c r="D12" s="32" t="s">
        <v>323</v>
      </c>
      <c r="E12" s="33" t="s">
        <v>324</v>
      </c>
      <c r="F12" s="33" t="s">
        <v>325</v>
      </c>
      <c r="G12" s="33" t="s">
        <v>326</v>
      </c>
      <c r="H12" s="32" t="s">
        <v>327</v>
      </c>
    </row>
    <row r="13" customFormat="false" ht="43.5" hidden="false" customHeight="true" outlineLevel="0" collapsed="false">
      <c r="A13" s="10" t="n">
        <v>9</v>
      </c>
      <c r="B13" s="14" t="s">
        <v>290</v>
      </c>
      <c r="C13" s="10" t="s">
        <v>36</v>
      </c>
      <c r="D13" s="32" t="s">
        <v>328</v>
      </c>
      <c r="E13" s="33" t="s">
        <v>329</v>
      </c>
      <c r="F13" s="33" t="s">
        <v>330</v>
      </c>
      <c r="G13" s="33" t="s">
        <v>331</v>
      </c>
      <c r="H13" s="32" t="s">
        <v>332</v>
      </c>
    </row>
    <row r="14" customFormat="false" ht="43.5" hidden="false" customHeight="true" outlineLevel="0" collapsed="false">
      <c r="A14" s="10" t="n">
        <v>10</v>
      </c>
      <c r="B14" s="14" t="s">
        <v>290</v>
      </c>
      <c r="C14" s="10" t="s">
        <v>34</v>
      </c>
      <c r="D14" s="32" t="s">
        <v>333</v>
      </c>
      <c r="E14" s="33" t="s">
        <v>334</v>
      </c>
      <c r="F14" s="33" t="s">
        <v>325</v>
      </c>
      <c r="G14" s="33" t="s">
        <v>335</v>
      </c>
      <c r="H14" s="32" t="s">
        <v>336</v>
      </c>
    </row>
    <row r="15" customFormat="false" ht="43.5" hidden="false" customHeight="true" outlineLevel="0" collapsed="false">
      <c r="A15" s="10" t="n">
        <v>11</v>
      </c>
      <c r="B15" s="14" t="s">
        <v>290</v>
      </c>
      <c r="C15" s="14" t="s">
        <v>337</v>
      </c>
      <c r="D15" s="33" t="s">
        <v>338</v>
      </c>
      <c r="E15" s="32" t="s">
        <v>339</v>
      </c>
      <c r="F15" s="32" t="s">
        <v>340</v>
      </c>
      <c r="G15" s="32" t="s">
        <v>341</v>
      </c>
      <c r="H15" s="32" t="s">
        <v>342</v>
      </c>
    </row>
    <row r="16" customFormat="false" ht="43.5" hidden="false" customHeight="true" outlineLevel="0" collapsed="false">
      <c r="A16" s="10" t="n">
        <v>12</v>
      </c>
      <c r="B16" s="14" t="s">
        <v>290</v>
      </c>
      <c r="C16" s="10" t="s">
        <v>30</v>
      </c>
      <c r="D16" s="32" t="s">
        <v>343</v>
      </c>
      <c r="E16" s="33" t="s">
        <v>344</v>
      </c>
      <c r="F16" s="32" t="s">
        <v>340</v>
      </c>
      <c r="G16" s="33" t="s">
        <v>345</v>
      </c>
      <c r="H16" s="32" t="s">
        <v>342</v>
      </c>
    </row>
    <row r="17" customFormat="false" ht="43.5" hidden="false" customHeight="true" outlineLevel="0" collapsed="false">
      <c r="A17" s="10" t="n">
        <v>13</v>
      </c>
      <c r="B17" s="14" t="s">
        <v>290</v>
      </c>
      <c r="C17" s="10" t="s">
        <v>34</v>
      </c>
      <c r="D17" s="32" t="s">
        <v>346</v>
      </c>
      <c r="E17" s="32" t="s">
        <v>347</v>
      </c>
      <c r="F17" s="32" t="s">
        <v>348</v>
      </c>
      <c r="G17" s="32" t="s">
        <v>349</v>
      </c>
      <c r="H17" s="32" t="s">
        <v>350</v>
      </c>
    </row>
    <row r="18" customFormat="false" ht="43.5" hidden="false" customHeight="true" outlineLevel="0" collapsed="false">
      <c r="A18" s="10" t="n">
        <v>14</v>
      </c>
      <c r="B18" s="14" t="s">
        <v>290</v>
      </c>
      <c r="C18" s="10" t="s">
        <v>30</v>
      </c>
      <c r="D18" s="32" t="s">
        <v>351</v>
      </c>
      <c r="E18" s="32" t="s">
        <v>352</v>
      </c>
      <c r="F18" s="32" t="s">
        <v>353</v>
      </c>
      <c r="G18" s="32" t="s">
        <v>354</v>
      </c>
      <c r="H18" s="32" t="s">
        <v>355</v>
      </c>
    </row>
    <row r="19" customFormat="false" ht="43.5" hidden="false" customHeight="true" outlineLevel="0" collapsed="false">
      <c r="A19" s="10" t="n">
        <v>15</v>
      </c>
      <c r="B19" s="14" t="s">
        <v>290</v>
      </c>
      <c r="C19" s="10" t="s">
        <v>36</v>
      </c>
      <c r="D19" s="32" t="s">
        <v>356</v>
      </c>
      <c r="E19" s="32" t="s">
        <v>357</v>
      </c>
      <c r="F19" s="32" t="s">
        <v>358</v>
      </c>
      <c r="G19" s="32" t="s">
        <v>359</v>
      </c>
      <c r="H19" s="32" t="s">
        <v>360</v>
      </c>
    </row>
    <row r="20" customFormat="false" ht="43.5" hidden="false" customHeight="true" outlineLevel="0" collapsed="false">
      <c r="A20" s="10" t="n">
        <v>16</v>
      </c>
      <c r="B20" s="14" t="s">
        <v>290</v>
      </c>
      <c r="C20" s="10" t="s">
        <v>361</v>
      </c>
      <c r="D20" s="33" t="s">
        <v>362</v>
      </c>
      <c r="E20" s="32" t="s">
        <v>363</v>
      </c>
      <c r="F20" s="33" t="s">
        <v>364</v>
      </c>
      <c r="G20" s="33" t="s">
        <v>365</v>
      </c>
      <c r="H20" s="32" t="s">
        <v>366</v>
      </c>
    </row>
    <row r="21" customFormat="false" ht="43.5" hidden="false" customHeight="true" outlineLevel="0" collapsed="false">
      <c r="A21" s="17" t="n">
        <v>17</v>
      </c>
      <c r="B21" s="30" t="s">
        <v>367</v>
      </c>
      <c r="C21" s="30" t="s">
        <v>368</v>
      </c>
      <c r="D21" s="34" t="s">
        <v>369</v>
      </c>
      <c r="E21" s="34" t="s">
        <v>370</v>
      </c>
      <c r="F21" s="35" t="s">
        <v>371</v>
      </c>
      <c r="G21" s="34" t="s">
        <v>372</v>
      </c>
      <c r="H21" s="35" t="s">
        <v>373</v>
      </c>
    </row>
    <row r="22" customFormat="false" ht="43.5" hidden="false" customHeight="true" outlineLevel="0" collapsed="false">
      <c r="A22" s="17" t="n">
        <v>18</v>
      </c>
      <c r="B22" s="30" t="s">
        <v>367</v>
      </c>
      <c r="C22" s="17" t="s">
        <v>374</v>
      </c>
      <c r="D22" s="35" t="s">
        <v>375</v>
      </c>
      <c r="E22" s="34" t="s">
        <v>376</v>
      </c>
      <c r="F22" s="35" t="s">
        <v>377</v>
      </c>
      <c r="G22" s="35" t="s">
        <v>378</v>
      </c>
      <c r="H22" s="34" t="s">
        <v>379</v>
      </c>
    </row>
    <row r="23" customFormat="false" ht="43.5" hidden="false" customHeight="true" outlineLevel="0" collapsed="false">
      <c r="A23" s="17" t="n">
        <v>19</v>
      </c>
      <c r="B23" s="30" t="s">
        <v>367</v>
      </c>
      <c r="C23" s="17" t="s">
        <v>380</v>
      </c>
      <c r="D23" s="34" t="s">
        <v>381</v>
      </c>
      <c r="E23" s="35" t="s">
        <v>382</v>
      </c>
      <c r="F23" s="34" t="s">
        <v>383</v>
      </c>
      <c r="G23" s="35" t="s">
        <v>384</v>
      </c>
      <c r="H23" s="35" t="s">
        <v>385</v>
      </c>
    </row>
    <row r="24" customFormat="false" ht="43.5" hidden="false" customHeight="true" outlineLevel="0" collapsed="false">
      <c r="A24" s="36" t="n">
        <v>20</v>
      </c>
      <c r="B24" s="37" t="s">
        <v>386</v>
      </c>
      <c r="C24" s="36" t="s">
        <v>30</v>
      </c>
      <c r="D24" s="38" t="s">
        <v>387</v>
      </c>
      <c r="E24" s="39" t="s">
        <v>388</v>
      </c>
      <c r="F24" s="39" t="s">
        <v>389</v>
      </c>
      <c r="G24" s="39" t="s">
        <v>390</v>
      </c>
      <c r="H24" s="38" t="s">
        <v>391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2" topLeftCell="A5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4" min="3" style="0" width="14"/>
    <col collapsed="false" customWidth="true" hidden="false" outlineLevel="0" max="5" min="5" style="0" width="12"/>
    <col collapsed="false" customWidth="true" hidden="false" outlineLevel="0" max="6" min="6" style="0" width="15"/>
    <col collapsed="false" customWidth="true" hidden="false" outlineLevel="0" max="7" min="7" style="0" width="9"/>
    <col collapsed="false" customWidth="true" hidden="false" outlineLevel="0" max="8" min="8" style="0" width="26"/>
    <col collapsed="false" customWidth="true" hidden="false" outlineLevel="0" max="9" min="9" style="0" width="30"/>
  </cols>
  <sheetData>
    <row r="1" customFormat="false" ht="17.35" hidden="false" customHeight="false" outlineLevel="0" collapsed="false">
      <c r="A1" s="24" t="s">
        <v>392</v>
      </c>
    </row>
    <row r="3" customFormat="false" ht="15" hidden="false" customHeight="false" outlineLevel="0" collapsed="false">
      <c r="A3" s="3" t="s">
        <v>393</v>
      </c>
    </row>
    <row r="4" customFormat="false" ht="15" hidden="false" customHeight="false" outlineLevel="0" collapsed="false">
      <c r="A4" s="2" t="s">
        <v>394</v>
      </c>
    </row>
    <row r="5" customFormat="false" ht="15" hidden="false" customHeight="false" outlineLevel="0" collapsed="false">
      <c r="A5" s="4" t="s">
        <v>19</v>
      </c>
      <c r="B5" s="4" t="s">
        <v>395</v>
      </c>
      <c r="C5" s="4" t="s">
        <v>21</v>
      </c>
      <c r="D5" s="4" t="s">
        <v>23</v>
      </c>
      <c r="E5" s="4" t="s">
        <v>71</v>
      </c>
      <c r="F5" s="4" t="s">
        <v>396</v>
      </c>
    </row>
    <row r="6" customFormat="false" ht="15" hidden="false" customHeight="false" outlineLevel="0" collapsed="false">
      <c r="A6" s="10" t="s">
        <v>29</v>
      </c>
      <c r="B6" s="29" t="n">
        <v>19.5</v>
      </c>
      <c r="C6" s="11" t="n">
        <v>5</v>
      </c>
      <c r="D6" s="11" t="n">
        <v>485</v>
      </c>
      <c r="E6" s="13" t="n">
        <v>0.626</v>
      </c>
      <c r="F6" s="14" t="s">
        <v>397</v>
      </c>
    </row>
    <row r="7" customFormat="false" ht="15" hidden="false" customHeight="false" outlineLevel="0" collapsed="false">
      <c r="A7" s="8" t="s">
        <v>29</v>
      </c>
      <c r="B7" s="26" t="n">
        <v>26</v>
      </c>
      <c r="C7" s="6" t="n">
        <v>33</v>
      </c>
      <c r="D7" s="6" t="n">
        <v>845</v>
      </c>
      <c r="E7" s="16" t="n">
        <v>0.536</v>
      </c>
      <c r="F7" s="8"/>
    </row>
    <row r="8" customFormat="false" ht="15" hidden="false" customHeight="false" outlineLevel="0" collapsed="false">
      <c r="A8" s="8" t="s">
        <v>29</v>
      </c>
      <c r="B8" s="26" t="n">
        <v>34.9</v>
      </c>
      <c r="C8" s="6" t="n">
        <v>58</v>
      </c>
      <c r="D8" s="6" t="n">
        <v>741</v>
      </c>
      <c r="E8" s="16" t="n">
        <v>0.519</v>
      </c>
      <c r="F8" s="8"/>
    </row>
    <row r="9" customFormat="false" ht="15" hidden="false" customHeight="false" outlineLevel="0" collapsed="false">
      <c r="A9" s="14" t="s">
        <v>31</v>
      </c>
      <c r="B9" s="29" t="n">
        <v>18.5</v>
      </c>
      <c r="C9" s="11" t="n">
        <v>4</v>
      </c>
      <c r="D9" s="11" t="n">
        <v>1336</v>
      </c>
      <c r="E9" s="13" t="n">
        <v>0.771</v>
      </c>
      <c r="F9" s="14" t="s">
        <v>397</v>
      </c>
    </row>
    <row r="10" customFormat="false" ht="15" hidden="false" customHeight="false" outlineLevel="0" collapsed="false">
      <c r="A10" s="7" t="s">
        <v>31</v>
      </c>
      <c r="B10" s="26" t="n">
        <v>26.6</v>
      </c>
      <c r="C10" s="6" t="n">
        <v>13</v>
      </c>
      <c r="D10" s="6" t="n">
        <v>1533</v>
      </c>
      <c r="E10" s="16" t="n">
        <v>0.621</v>
      </c>
      <c r="F10" s="8"/>
    </row>
    <row r="11" customFormat="false" ht="15" hidden="false" customHeight="false" outlineLevel="0" collapsed="false">
      <c r="A11" s="7" t="s">
        <v>31</v>
      </c>
      <c r="B11" s="26" t="n">
        <v>33.1</v>
      </c>
      <c r="C11" s="6" t="n">
        <v>7</v>
      </c>
      <c r="D11" s="6" t="n">
        <v>1503</v>
      </c>
      <c r="E11" s="16" t="n">
        <v>0.686</v>
      </c>
      <c r="F11" s="8"/>
    </row>
    <row r="12" customFormat="false" ht="15" hidden="false" customHeight="false" outlineLevel="0" collapsed="false">
      <c r="A12" s="7" t="s">
        <v>33</v>
      </c>
      <c r="B12" s="26" t="n">
        <v>25.4</v>
      </c>
      <c r="C12" s="6" t="n">
        <v>14</v>
      </c>
      <c r="D12" s="6" t="n">
        <v>1249</v>
      </c>
      <c r="E12" s="16" t="n">
        <v>0.58</v>
      </c>
      <c r="F12" s="8"/>
    </row>
    <row r="13" customFormat="false" ht="15" hidden="false" customHeight="false" outlineLevel="0" collapsed="false">
      <c r="A13" s="14" t="s">
        <v>33</v>
      </c>
      <c r="B13" s="29" t="n">
        <v>32.2</v>
      </c>
      <c r="C13" s="11" t="n">
        <v>9</v>
      </c>
      <c r="D13" s="11" t="n">
        <v>1829</v>
      </c>
      <c r="E13" s="13" t="n">
        <v>0.633</v>
      </c>
      <c r="F13" s="14" t="s">
        <v>397</v>
      </c>
    </row>
    <row r="14" customFormat="false" ht="15" hidden="false" customHeight="false" outlineLevel="0" collapsed="false">
      <c r="A14" s="14" t="s">
        <v>35</v>
      </c>
      <c r="B14" s="29" t="n">
        <v>19.4</v>
      </c>
      <c r="C14" s="11" t="n">
        <v>5</v>
      </c>
      <c r="D14" s="11" t="n">
        <v>575</v>
      </c>
      <c r="E14" s="13" t="n">
        <v>1.643</v>
      </c>
      <c r="F14" s="14" t="s">
        <v>397</v>
      </c>
    </row>
    <row r="15" customFormat="false" ht="15" hidden="false" customHeight="false" outlineLevel="0" collapsed="false">
      <c r="A15" s="7" t="s">
        <v>35</v>
      </c>
      <c r="B15" s="26" t="n">
        <v>24.8</v>
      </c>
      <c r="C15" s="6" t="n">
        <v>45</v>
      </c>
      <c r="D15" s="6" t="n">
        <v>938</v>
      </c>
      <c r="E15" s="16" t="n">
        <v>0.59</v>
      </c>
      <c r="F15" s="8"/>
    </row>
    <row r="16" customFormat="false" ht="15" hidden="false" customHeight="false" outlineLevel="0" collapsed="false">
      <c r="A16" s="7" t="s">
        <v>35</v>
      </c>
      <c r="B16" s="26" t="n">
        <v>34</v>
      </c>
      <c r="C16" s="6" t="n">
        <v>45</v>
      </c>
      <c r="D16" s="6" t="n">
        <v>931</v>
      </c>
      <c r="E16" s="16" t="n">
        <v>0.528</v>
      </c>
      <c r="F16" s="8"/>
    </row>
    <row r="17" customFormat="false" ht="15" hidden="false" customHeight="false" outlineLevel="0" collapsed="false">
      <c r="A17" s="7" t="s">
        <v>35</v>
      </c>
      <c r="B17" s="26" t="n">
        <v>42.9</v>
      </c>
      <c r="C17" s="6" t="n">
        <v>6</v>
      </c>
      <c r="D17" s="6" t="n">
        <v>844</v>
      </c>
      <c r="E17" s="16" t="n">
        <v>0.474</v>
      </c>
      <c r="F17" s="8"/>
    </row>
    <row r="18" customFormat="false" ht="15" hidden="false" customHeight="false" outlineLevel="0" collapsed="false">
      <c r="A18" s="10" t="s">
        <v>37</v>
      </c>
      <c r="B18" s="29" t="n">
        <v>23.5</v>
      </c>
      <c r="C18" s="11" t="n">
        <v>13</v>
      </c>
      <c r="D18" s="11" t="n">
        <v>1145</v>
      </c>
      <c r="E18" s="13" t="n">
        <v>0.689</v>
      </c>
      <c r="F18" s="14" t="s">
        <v>397</v>
      </c>
    </row>
    <row r="20" customFormat="false" ht="15" hidden="false" customHeight="false" outlineLevel="0" collapsed="false">
      <c r="A20" s="3" t="s">
        <v>398</v>
      </c>
    </row>
    <row r="23" customFormat="false" ht="15" hidden="false" customHeight="false" outlineLevel="0" collapsed="false">
      <c r="A23" s="3" t="s">
        <v>399</v>
      </c>
    </row>
    <row r="24" customFormat="false" ht="15" hidden="false" customHeight="false" outlineLevel="0" collapsed="false">
      <c r="A24" s="25" t="s">
        <v>400</v>
      </c>
    </row>
    <row r="25" customFormat="false" ht="15" hidden="false" customHeight="false" outlineLevel="0" collapsed="false">
      <c r="A25" s="4" t="s">
        <v>19</v>
      </c>
      <c r="B25" s="9" t="s">
        <v>401</v>
      </c>
      <c r="C25" s="9" t="s">
        <v>402</v>
      </c>
      <c r="D25" s="9" t="s">
        <v>403</v>
      </c>
      <c r="E25" s="9" t="s">
        <v>404</v>
      </c>
      <c r="F25" s="9" t="s">
        <v>405</v>
      </c>
      <c r="G25" s="9" t="s">
        <v>406</v>
      </c>
      <c r="H25" s="9" t="s">
        <v>407</v>
      </c>
      <c r="I25" s="4" t="s">
        <v>408</v>
      </c>
    </row>
    <row r="26" customFormat="false" ht="15" hidden="false" customHeight="false" outlineLevel="0" collapsed="false">
      <c r="A26" s="17" t="s">
        <v>29</v>
      </c>
      <c r="B26" s="40" t="n">
        <v>1.18</v>
      </c>
      <c r="C26" s="40" t="n">
        <v>1.15</v>
      </c>
      <c r="D26" s="40" t="n">
        <v>1.11</v>
      </c>
      <c r="E26" s="40" t="n">
        <v>1.04</v>
      </c>
      <c r="F26" s="40" t="n">
        <v>0.87</v>
      </c>
      <c r="G26" s="40" t="n">
        <v>0.64</v>
      </c>
      <c r="H26" s="40" t="n">
        <v>0.46</v>
      </c>
      <c r="I26" s="30" t="s">
        <v>409</v>
      </c>
    </row>
    <row r="27" customFormat="false" ht="15" hidden="false" customHeight="false" outlineLevel="0" collapsed="false">
      <c r="A27" s="14" t="s">
        <v>31</v>
      </c>
      <c r="B27" s="41" t="n">
        <v>1.27</v>
      </c>
      <c r="C27" s="41" t="n">
        <v>1.24</v>
      </c>
      <c r="D27" s="41" t="n">
        <v>1.21</v>
      </c>
      <c r="E27" s="41" t="n">
        <v>1.17</v>
      </c>
      <c r="F27" s="41" t="n">
        <v>1.04</v>
      </c>
      <c r="G27" s="40" t="n">
        <v>0.83</v>
      </c>
      <c r="H27" s="40" t="n">
        <v>0.63</v>
      </c>
      <c r="I27" s="14" t="s">
        <v>410</v>
      </c>
    </row>
    <row r="28" customFormat="false" ht="15" hidden="false" customHeight="false" outlineLevel="0" collapsed="false">
      <c r="A28" s="7" t="s">
        <v>33</v>
      </c>
      <c r="B28" s="28" t="n">
        <v>1.24</v>
      </c>
      <c r="C28" s="28" t="n">
        <v>1.22</v>
      </c>
      <c r="D28" s="28" t="n">
        <v>1.19</v>
      </c>
      <c r="E28" s="28" t="n">
        <v>1.12</v>
      </c>
      <c r="F28" s="40" t="n">
        <v>0.95</v>
      </c>
      <c r="G28" s="40" t="n">
        <v>0.73</v>
      </c>
      <c r="H28" s="40" t="n">
        <v>0.52</v>
      </c>
      <c r="I28" s="8"/>
    </row>
    <row r="29" customFormat="false" ht="15" hidden="false" customHeight="false" outlineLevel="0" collapsed="false">
      <c r="A29" s="7" t="s">
        <v>35</v>
      </c>
      <c r="B29" s="28" t="n">
        <v>1.3</v>
      </c>
      <c r="C29" s="28" t="n">
        <v>1.27</v>
      </c>
      <c r="D29" s="28" t="n">
        <v>1.25</v>
      </c>
      <c r="E29" s="28" t="n">
        <v>1.17</v>
      </c>
      <c r="F29" s="40" t="n">
        <v>0.99</v>
      </c>
      <c r="G29" s="40" t="n">
        <v>0.75</v>
      </c>
      <c r="H29" s="40" t="n">
        <v>0.57</v>
      </c>
      <c r="I29" s="8"/>
    </row>
    <row r="30" customFormat="false" ht="15" hidden="false" customHeight="false" outlineLevel="0" collapsed="false">
      <c r="A30" s="8" t="s">
        <v>37</v>
      </c>
      <c r="B30" s="28" t="n">
        <v>1.16</v>
      </c>
      <c r="C30" s="28" t="n">
        <v>1.14</v>
      </c>
      <c r="D30" s="28" t="n">
        <v>1.12</v>
      </c>
      <c r="E30" s="28" t="n">
        <v>1.1</v>
      </c>
      <c r="F30" s="40" t="n">
        <v>0.99</v>
      </c>
      <c r="G30" s="40" t="n">
        <v>0.79</v>
      </c>
      <c r="H30" s="40" t="n">
        <v>0.52</v>
      </c>
      <c r="I30" s="8"/>
    </row>
    <row r="32" customFormat="false" ht="15" hidden="false" customHeight="false" outlineLevel="0" collapsed="false">
      <c r="A32" s="3" t="s">
        <v>411</v>
      </c>
    </row>
    <row r="35" customFormat="false" ht="15" hidden="false" customHeight="false" outlineLevel="0" collapsed="false">
      <c r="A35" s="3" t="s">
        <v>412</v>
      </c>
    </row>
    <row r="36" customFormat="false" ht="15" hidden="false" customHeight="false" outlineLevel="0" collapsed="false">
      <c r="A36" s="2" t="s">
        <v>413</v>
      </c>
    </row>
    <row r="37" customFormat="false" ht="15" hidden="false" customHeight="false" outlineLevel="0" collapsed="false">
      <c r="A37" s="4" t="s">
        <v>414</v>
      </c>
      <c r="B37" s="4" t="s">
        <v>19</v>
      </c>
      <c r="C37" s="4" t="s">
        <v>415</v>
      </c>
      <c r="D37" s="4" t="s">
        <v>416</v>
      </c>
      <c r="E37" s="4" t="s">
        <v>417</v>
      </c>
      <c r="F37" s="4" t="s">
        <v>418</v>
      </c>
      <c r="G37" s="4" t="s">
        <v>419</v>
      </c>
      <c r="H37" s="4" t="s">
        <v>73</v>
      </c>
    </row>
    <row r="38" customFormat="false" ht="15" hidden="false" customHeight="false" outlineLevel="0" collapsed="false">
      <c r="A38" s="14" t="s">
        <v>420</v>
      </c>
      <c r="B38" s="10" t="s">
        <v>34</v>
      </c>
      <c r="C38" s="11" t="n">
        <v>7</v>
      </c>
      <c r="D38" s="11" t="n">
        <v>1899</v>
      </c>
      <c r="E38" s="11" t="n">
        <v>16</v>
      </c>
      <c r="F38" s="11" t="n">
        <v>1431</v>
      </c>
      <c r="G38" s="42" t="n">
        <v>1.33</v>
      </c>
      <c r="H38" s="14" t="s">
        <v>421</v>
      </c>
    </row>
    <row r="39" customFormat="false" ht="15" hidden="false" customHeight="false" outlineLevel="0" collapsed="false">
      <c r="A39" s="7" t="s">
        <v>420</v>
      </c>
      <c r="B39" s="8" t="s">
        <v>30</v>
      </c>
      <c r="C39" s="6" t="n">
        <v>12</v>
      </c>
      <c r="D39" s="6" t="n">
        <v>937</v>
      </c>
      <c r="E39" s="6" t="n">
        <v>104</v>
      </c>
      <c r="F39" s="6" t="n">
        <v>883</v>
      </c>
      <c r="G39" s="43" t="n">
        <v>1.06</v>
      </c>
      <c r="H39" s="7" t="s">
        <v>422</v>
      </c>
    </row>
    <row r="40" customFormat="false" ht="15" hidden="false" customHeight="false" outlineLevel="0" collapsed="false">
      <c r="A40" s="14" t="s">
        <v>423</v>
      </c>
      <c r="B40" s="10" t="s">
        <v>30</v>
      </c>
      <c r="C40" s="11" t="n">
        <v>80</v>
      </c>
      <c r="D40" s="11" t="n">
        <v>956</v>
      </c>
      <c r="E40" s="11" t="n">
        <v>36</v>
      </c>
      <c r="F40" s="11" t="n">
        <v>764</v>
      </c>
      <c r="G40" s="42" t="n">
        <v>1.25</v>
      </c>
      <c r="H40" s="14" t="s">
        <v>424</v>
      </c>
    </row>
    <row r="41" customFormat="false" ht="15" hidden="false" customHeight="false" outlineLevel="0" collapsed="false">
      <c r="A41" s="30" t="s">
        <v>425</v>
      </c>
      <c r="B41" s="17" t="s">
        <v>34</v>
      </c>
      <c r="C41" s="18" t="n">
        <v>6</v>
      </c>
      <c r="D41" s="18" t="n">
        <v>1331</v>
      </c>
      <c r="E41" s="18" t="n">
        <v>17</v>
      </c>
      <c r="F41" s="18" t="n">
        <v>1667</v>
      </c>
      <c r="G41" s="44" t="n">
        <v>0.8</v>
      </c>
      <c r="H41" s="30" t="s">
        <v>426</v>
      </c>
    </row>
    <row r="42" customFormat="false" ht="15" hidden="false" customHeight="false" outlineLevel="0" collapsed="false">
      <c r="A42" s="7" t="s">
        <v>425</v>
      </c>
      <c r="B42" s="8" t="s">
        <v>36</v>
      </c>
      <c r="C42" s="6" t="n">
        <v>34</v>
      </c>
      <c r="D42" s="6" t="n">
        <v>944</v>
      </c>
      <c r="E42" s="6" t="n">
        <v>87</v>
      </c>
      <c r="F42" s="6" t="n">
        <v>999</v>
      </c>
      <c r="G42" s="43" t="n">
        <v>0.95</v>
      </c>
      <c r="H42" s="7" t="s">
        <v>427</v>
      </c>
    </row>
    <row r="43" customFormat="false" ht="15" hidden="false" customHeight="false" outlineLevel="0" collapsed="false">
      <c r="A43" s="7" t="s">
        <v>425</v>
      </c>
      <c r="B43" s="8" t="s">
        <v>32</v>
      </c>
      <c r="C43" s="6" t="n">
        <v>11</v>
      </c>
      <c r="D43" s="6" t="n">
        <v>1564</v>
      </c>
      <c r="E43" s="6" t="n">
        <v>13</v>
      </c>
      <c r="F43" s="6" t="n">
        <v>1565</v>
      </c>
      <c r="G43" s="43" t="n">
        <v>1</v>
      </c>
      <c r="H43" s="7" t="s">
        <v>427</v>
      </c>
    </row>
    <row r="44" customFormat="false" ht="15" hidden="false" customHeight="false" outlineLevel="0" collapsed="false">
      <c r="A44" s="7" t="s">
        <v>428</v>
      </c>
      <c r="B44" s="8" t="s">
        <v>36</v>
      </c>
      <c r="C44" s="6" t="n">
        <v>31</v>
      </c>
      <c r="D44" s="6" t="n">
        <v>937</v>
      </c>
      <c r="E44" s="6" t="n">
        <v>90</v>
      </c>
      <c r="F44" s="6" t="n">
        <v>996</v>
      </c>
      <c r="G44" s="43" t="n">
        <v>0.94</v>
      </c>
      <c r="H44" s="7" t="s">
        <v>429</v>
      </c>
    </row>
    <row r="45" customFormat="false" ht="15" hidden="false" customHeight="false" outlineLevel="0" collapsed="false">
      <c r="A45" s="7" t="s">
        <v>423</v>
      </c>
      <c r="B45" s="8" t="s">
        <v>36</v>
      </c>
      <c r="C45" s="6" t="n">
        <v>25</v>
      </c>
      <c r="D45" s="6" t="n">
        <v>977</v>
      </c>
      <c r="E45" s="6" t="n">
        <v>96</v>
      </c>
      <c r="F45" s="6" t="n">
        <v>972</v>
      </c>
      <c r="G45" s="43" t="n">
        <v>1.01</v>
      </c>
      <c r="H45" s="7" t="s">
        <v>427</v>
      </c>
    </row>
    <row r="47" customFormat="false" ht="15" hidden="false" customHeight="false" outlineLevel="0" collapsed="false">
      <c r="A47" s="2" t="s">
        <v>430</v>
      </c>
    </row>
    <row r="48" customFormat="false" ht="15" hidden="false" customHeight="false" outlineLevel="0" collapsed="false">
      <c r="A48" s="2" t="s">
        <v>431</v>
      </c>
    </row>
    <row r="51" customFormat="false" ht="15" hidden="false" customHeight="false" outlineLevel="0" collapsed="false">
      <c r="A51" s="3" t="s">
        <v>432</v>
      </c>
    </row>
    <row r="52" customFormat="false" ht="15" hidden="false" customHeight="false" outlineLevel="0" collapsed="false">
      <c r="A52" s="4" t="s">
        <v>433</v>
      </c>
      <c r="B52" s="4" t="s">
        <v>434</v>
      </c>
      <c r="C52" s="4" t="s">
        <v>435</v>
      </c>
      <c r="D52" s="4" t="s">
        <v>436</v>
      </c>
      <c r="E52" s="4" t="s">
        <v>437</v>
      </c>
    </row>
    <row r="53" customFormat="false" ht="15" hidden="false" customHeight="false" outlineLevel="0" collapsed="false">
      <c r="A53" s="7" t="s">
        <v>35</v>
      </c>
      <c r="B53" s="7" t="s">
        <v>438</v>
      </c>
      <c r="C53" s="6" t="n">
        <v>665000</v>
      </c>
      <c r="D53" s="6" t="n">
        <v>945805</v>
      </c>
      <c r="E53" s="26" t="n">
        <v>0.2</v>
      </c>
    </row>
    <row r="54" customFormat="false" ht="15" hidden="false" customHeight="false" outlineLevel="0" collapsed="false">
      <c r="A54" s="7" t="s">
        <v>35</v>
      </c>
      <c r="B54" s="7" t="s">
        <v>439</v>
      </c>
      <c r="C54" s="6" t="n">
        <v>232000</v>
      </c>
      <c r="D54" s="6" t="n">
        <v>569282</v>
      </c>
      <c r="E54" s="26" t="n">
        <v>6.4</v>
      </c>
    </row>
    <row r="55" customFormat="false" ht="15" hidden="false" customHeight="false" outlineLevel="0" collapsed="false">
      <c r="A55" s="7" t="s">
        <v>35</v>
      </c>
      <c r="B55" s="7" t="s">
        <v>440</v>
      </c>
      <c r="C55" s="6" t="n">
        <v>498000</v>
      </c>
      <c r="D55" s="6" t="n">
        <v>416672</v>
      </c>
      <c r="E55" s="26" t="n">
        <v>0.3</v>
      </c>
    </row>
    <row r="56" customFormat="false" ht="15" hidden="false" customHeight="false" outlineLevel="0" collapsed="false">
      <c r="A56" s="7" t="s">
        <v>35</v>
      </c>
      <c r="B56" s="7" t="s">
        <v>441</v>
      </c>
      <c r="C56" s="6" t="n">
        <v>124000</v>
      </c>
      <c r="D56" s="6" t="n">
        <v>196942</v>
      </c>
      <c r="E56" s="26" t="n">
        <v>0.1</v>
      </c>
    </row>
    <row r="57" customFormat="false" ht="15" hidden="false" customHeight="false" outlineLevel="0" collapsed="false">
      <c r="A57" s="7" t="s">
        <v>35</v>
      </c>
      <c r="B57" s="8" t="s">
        <v>442</v>
      </c>
      <c r="C57" s="6" t="n">
        <v>2610000</v>
      </c>
      <c r="D57" s="6" t="n">
        <v>191325</v>
      </c>
      <c r="E57" s="26" t="n">
        <v>4.8</v>
      </c>
    </row>
    <row r="58" customFormat="false" ht="15" hidden="false" customHeight="false" outlineLevel="0" collapsed="false">
      <c r="A58" s="7" t="s">
        <v>35</v>
      </c>
      <c r="B58" s="7" t="s">
        <v>443</v>
      </c>
      <c r="C58" s="6" t="n">
        <v>456000</v>
      </c>
      <c r="D58" s="6" t="n">
        <v>169110</v>
      </c>
      <c r="E58" s="26" t="n">
        <v>0.5</v>
      </c>
    </row>
    <row r="59" customFormat="false" ht="15" hidden="false" customHeight="false" outlineLevel="0" collapsed="false">
      <c r="A59" s="7" t="s">
        <v>35</v>
      </c>
      <c r="B59" s="7" t="s">
        <v>444</v>
      </c>
      <c r="C59" s="6" t="n">
        <v>136000</v>
      </c>
      <c r="D59" s="6" t="n">
        <v>100452</v>
      </c>
      <c r="E59" s="26" t="n">
        <v>0.3</v>
      </c>
    </row>
    <row r="60" customFormat="false" ht="15" hidden="false" customHeight="false" outlineLevel="0" collapsed="false">
      <c r="A60" s="7" t="s">
        <v>35</v>
      </c>
      <c r="B60" s="7" t="s">
        <v>445</v>
      </c>
      <c r="C60" s="6" t="n">
        <v>182000</v>
      </c>
      <c r="D60" s="6" t="n">
        <v>37860</v>
      </c>
      <c r="E60" s="26" t="n">
        <v>2.2</v>
      </c>
    </row>
    <row r="61" customFormat="false" ht="15" hidden="false" customHeight="false" outlineLevel="0" collapsed="false">
      <c r="A61" s="7" t="s">
        <v>35</v>
      </c>
      <c r="B61" s="7" t="s">
        <v>446</v>
      </c>
      <c r="C61" s="6" t="n">
        <v>228000</v>
      </c>
      <c r="D61" s="6" t="n">
        <v>29874</v>
      </c>
      <c r="E61" s="26" t="n">
        <v>3.7</v>
      </c>
    </row>
    <row r="62" customFormat="false" ht="15" hidden="false" customHeight="false" outlineLevel="0" collapsed="false">
      <c r="A62" s="7" t="s">
        <v>35</v>
      </c>
      <c r="B62" s="7" t="s">
        <v>447</v>
      </c>
      <c r="C62" s="6" t="n">
        <v>9690</v>
      </c>
      <c r="D62" s="6" t="n">
        <v>1160</v>
      </c>
      <c r="E62" s="26" t="n">
        <v>1.7</v>
      </c>
    </row>
    <row r="63" customFormat="false" ht="15" hidden="false" customHeight="false" outlineLevel="0" collapsed="false">
      <c r="A63" s="8" t="s">
        <v>29</v>
      </c>
      <c r="B63" s="8" t="s">
        <v>448</v>
      </c>
      <c r="C63" s="6" t="n">
        <v>96900</v>
      </c>
      <c r="D63" s="6" t="n">
        <v>455469</v>
      </c>
      <c r="E63" s="26" t="n">
        <v>1.1</v>
      </c>
    </row>
    <row r="64" customFormat="false" ht="15" hidden="false" customHeight="false" outlineLevel="0" collapsed="false">
      <c r="A64" s="8" t="s">
        <v>29</v>
      </c>
      <c r="B64" s="7" t="s">
        <v>449</v>
      </c>
      <c r="C64" s="6" t="n">
        <v>13800</v>
      </c>
      <c r="D64" s="6" t="n">
        <v>115768</v>
      </c>
      <c r="E64" s="26" t="n">
        <v>0.5</v>
      </c>
    </row>
    <row r="65" customFormat="false" ht="15" hidden="false" customHeight="false" outlineLevel="0" collapsed="false">
      <c r="A65" s="8" t="s">
        <v>29</v>
      </c>
      <c r="B65" s="7" t="s">
        <v>450</v>
      </c>
      <c r="C65" s="6" t="n">
        <v>113000</v>
      </c>
      <c r="D65" s="6" t="n">
        <v>34078</v>
      </c>
      <c r="E65" s="26" t="n">
        <v>1.1</v>
      </c>
    </row>
    <row r="66" customFormat="false" ht="15" hidden="false" customHeight="false" outlineLevel="0" collapsed="false">
      <c r="A66" s="8" t="s">
        <v>29</v>
      </c>
      <c r="B66" s="8" t="s">
        <v>451</v>
      </c>
      <c r="C66" s="6" t="n">
        <v>78000</v>
      </c>
      <c r="D66" s="6" t="n">
        <v>25101</v>
      </c>
      <c r="E66" s="26" t="n">
        <v>2.2</v>
      </c>
    </row>
    <row r="67" customFormat="false" ht="15" hidden="false" customHeight="false" outlineLevel="0" collapsed="false">
      <c r="A67" s="8" t="s">
        <v>29</v>
      </c>
      <c r="B67" s="7" t="s">
        <v>452</v>
      </c>
      <c r="C67" s="6" t="n">
        <v>82800</v>
      </c>
      <c r="D67" s="6" t="n">
        <v>23874</v>
      </c>
      <c r="E67" s="26" t="n">
        <v>1.8</v>
      </c>
    </row>
    <row r="68" customFormat="false" ht="15" hidden="false" customHeight="false" outlineLevel="0" collapsed="false">
      <c r="A68" s="8" t="s">
        <v>29</v>
      </c>
      <c r="B68" s="8" t="s">
        <v>453</v>
      </c>
      <c r="C68" s="6" t="n">
        <v>228000</v>
      </c>
      <c r="D68" s="6" t="n">
        <v>18021</v>
      </c>
      <c r="E68" s="26" t="n">
        <v>2.5</v>
      </c>
    </row>
    <row r="69" customFormat="false" ht="15" hidden="false" customHeight="false" outlineLevel="0" collapsed="false">
      <c r="A69" s="8" t="s">
        <v>29</v>
      </c>
      <c r="B69" s="8" t="s">
        <v>454</v>
      </c>
      <c r="C69" s="6" t="n">
        <v>298000</v>
      </c>
      <c r="D69" s="6" t="n">
        <v>6313</v>
      </c>
      <c r="E69" s="26" t="n">
        <v>1.3</v>
      </c>
    </row>
    <row r="70" customFormat="false" ht="15" hidden="false" customHeight="false" outlineLevel="0" collapsed="false">
      <c r="A70" s="8" t="s">
        <v>29</v>
      </c>
      <c r="B70" s="7" t="s">
        <v>455</v>
      </c>
      <c r="C70" s="6" t="n">
        <v>20900</v>
      </c>
      <c r="D70" s="6" t="n">
        <v>4182</v>
      </c>
      <c r="E70" s="26" t="n">
        <v>0.6</v>
      </c>
    </row>
    <row r="71" customFormat="false" ht="15" hidden="false" customHeight="false" outlineLevel="0" collapsed="false">
      <c r="A71" s="8" t="s">
        <v>29</v>
      </c>
      <c r="B71" s="7" t="s">
        <v>456</v>
      </c>
      <c r="C71" s="6" t="n">
        <v>11900</v>
      </c>
      <c r="D71" s="6" t="n">
        <v>2125</v>
      </c>
      <c r="E71" s="26" t="n">
        <v>2.6</v>
      </c>
    </row>
    <row r="72" customFormat="false" ht="15" hidden="false" customHeight="false" outlineLevel="0" collapsed="false">
      <c r="A72" s="8" t="s">
        <v>29</v>
      </c>
      <c r="B72" s="7" t="s">
        <v>457</v>
      </c>
      <c r="C72" s="6" t="n">
        <v>7590</v>
      </c>
      <c r="D72" s="6" t="n">
        <v>1336</v>
      </c>
      <c r="E72" s="26" t="n">
        <v>10.8</v>
      </c>
    </row>
    <row r="74" customFormat="false" ht="15" hidden="false" customHeight="false" outlineLevel="0" collapsed="false">
      <c r="A74" s="2" t="s">
        <v>458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2026-08-22T01:11:27Z</dcterms:created>
  <dc:creator>openpyxl</dc:creator>
  <dc:description/>
  <dc:language>en-US</dc:language>
  <cp:lastModifiedBy/>
  <dcterms:modified xsi:type="dcterms:W3CDTF">2026-08-22T01:11:27Z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